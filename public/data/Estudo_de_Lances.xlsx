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v\OneDrive\Desktop\"/>
    </mc:Choice>
  </mc:AlternateContent>
  <xr:revisionPtr revIDLastSave="0" documentId="8_{7ACE3913-73CA-4165-B3D2-4447F12EDC4E}" xr6:coauthVersionLast="47" xr6:coauthVersionMax="47" xr10:uidLastSave="{00000000-0000-0000-0000-000000000000}"/>
  <bookViews>
    <workbookView xWindow="19095" yWindow="0" windowWidth="19410" windowHeight="20985" xr2:uid="{DDB77456-F545-4981-ADC2-1D690B7AE27B}"/>
  </bookViews>
  <sheets>
    <sheet name="ESTUDO DE LANCES" sheetId="2" r:id="rId1"/>
  </sheets>
  <externalReferences>
    <externalReference r:id="rId2"/>
  </externalReferences>
  <definedNames>
    <definedName name="_xlnm.Print_Area" localSheetId="0">'ESTUDO DE LANCES'!$A$1:$U$46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2" l="1"/>
  <c r="K6" i="2"/>
  <c r="M6" i="2"/>
  <c r="E8" i="2"/>
  <c r="G8" i="2"/>
  <c r="I8" i="2"/>
  <c r="K8" i="2"/>
  <c r="U25" i="2" s="1"/>
  <c r="M8" i="2"/>
  <c r="O8" i="2"/>
  <c r="E9" i="2" a="1"/>
  <c r="E9" i="2" s="1"/>
  <c r="G9" i="2" a="1"/>
  <c r="G9" i="2" s="1"/>
  <c r="V23" i="2" s="1"/>
  <c r="I9" i="2" a="1"/>
  <c r="I9" i="2" s="1"/>
  <c r="V24" i="2" s="1"/>
  <c r="K9" i="2" a="1"/>
  <c r="K9" i="2" s="1"/>
  <c r="V25" i="2" s="1"/>
  <c r="M9" i="2" a="1"/>
  <c r="M9" i="2" s="1"/>
  <c r="V26" i="2" s="1"/>
  <c r="O9" i="2" a="1"/>
  <c r="O9" i="2" s="1"/>
  <c r="V27" i="2" s="1"/>
  <c r="E10" i="2" a="1"/>
  <c r="E10" i="2" s="1"/>
  <c r="G10" i="2" a="1"/>
  <c r="G10" i="2" s="1"/>
  <c r="W23" i="2" s="1"/>
  <c r="I10" i="2" a="1"/>
  <c r="I10" i="2" s="1"/>
  <c r="W24" i="2" s="1"/>
  <c r="K10" i="2" a="1"/>
  <c r="K10" i="2" s="1"/>
  <c r="W25" i="2" s="1"/>
  <c r="M10" i="2" a="1"/>
  <c r="M10" i="2" s="1"/>
  <c r="W26" i="2" s="1"/>
  <c r="O10" i="2" a="1"/>
  <c r="O10" i="2" s="1"/>
  <c r="W27" i="2" s="1"/>
  <c r="T12" i="2" a="1"/>
  <c r="T12" i="2" s="1"/>
  <c r="E12" i="2" s="1"/>
  <c r="V12" i="2" a="1"/>
  <c r="V12" i="2" s="1"/>
  <c r="G12" i="2" s="1"/>
  <c r="X23" i="2" s="1"/>
  <c r="X12" i="2" a="1"/>
  <c r="X12" i="2" s="1"/>
  <c r="I12" i="2" s="1"/>
  <c r="X24" i="2" s="1"/>
  <c r="Z12" i="2" a="1"/>
  <c r="Z12" i="2" s="1"/>
  <c r="K12" i="2" s="1"/>
  <c r="X25" i="2" s="1"/>
  <c r="AB12" i="2" a="1"/>
  <c r="AB12" i="2" s="1"/>
  <c r="M12" i="2" s="1"/>
  <c r="X26" i="2" s="1"/>
  <c r="AD12" i="2" a="1"/>
  <c r="AD12" i="2" s="1"/>
  <c r="O12" i="2" s="1"/>
  <c r="T13" i="2" a="1"/>
  <c r="T13" i="2" s="1"/>
  <c r="E13" i="2" s="1"/>
  <c r="V13" i="2" a="1"/>
  <c r="V13" i="2" s="1"/>
  <c r="G13" i="2" s="1"/>
  <c r="Y23" i="2" s="1"/>
  <c r="X13" i="2" a="1"/>
  <c r="X13" i="2" s="1"/>
  <c r="I13" i="2" s="1"/>
  <c r="Y24" i="2" s="1"/>
  <c r="Z13" i="2" a="1"/>
  <c r="Z13" i="2" s="1"/>
  <c r="K13" i="2" s="1"/>
  <c r="Y25" i="2" s="1"/>
  <c r="AB13" i="2" a="1"/>
  <c r="AB13" i="2" s="1"/>
  <c r="M13" i="2" s="1"/>
  <c r="Y26" i="2" s="1"/>
  <c r="AD13" i="2" a="1"/>
  <c r="AD13" i="2" s="1"/>
  <c r="O13" i="2" s="1"/>
  <c r="Y27" i="2" s="1"/>
  <c r="T14" i="2" a="1"/>
  <c r="T14" i="2" s="1"/>
  <c r="E14" i="2" s="1"/>
  <c r="V14" i="2" a="1"/>
  <c r="V14" i="2" s="1"/>
  <c r="G14" i="2" s="1"/>
  <c r="Z23" i="2" s="1"/>
  <c r="X14" i="2" a="1"/>
  <c r="X14" i="2" s="1"/>
  <c r="I14" i="2" s="1"/>
  <c r="Z24" i="2" s="1"/>
  <c r="Z14" i="2" a="1"/>
  <c r="Z14" i="2" s="1"/>
  <c r="K14" i="2" s="1"/>
  <c r="Z25" i="2" s="1"/>
  <c r="AB14" i="2" a="1"/>
  <c r="AB14" i="2" s="1"/>
  <c r="M14" i="2" s="1"/>
  <c r="Z26" i="2" s="1"/>
  <c r="AD14" i="2" a="1"/>
  <c r="AD14" i="2" s="1"/>
  <c r="O14" i="2" s="1"/>
  <c r="Z27" i="2" s="1"/>
  <c r="U22" i="2"/>
  <c r="AA22" i="2"/>
  <c r="U23" i="2"/>
  <c r="AA23" i="2"/>
  <c r="U24" i="2"/>
  <c r="AA24" i="2"/>
  <c r="AA25" i="2"/>
  <c r="U26" i="2"/>
  <c r="AA26" i="2"/>
  <c r="U27" i="2"/>
  <c r="AA27" i="2"/>
  <c r="Z22" i="2" l="1"/>
  <c r="Q14" i="2"/>
  <c r="B19" i="2" s="1"/>
  <c r="Q9" i="2"/>
  <c r="V22" i="2"/>
  <c r="X27" i="2"/>
  <c r="T26" i="2"/>
  <c r="Q10" i="2"/>
  <c r="W22" i="2"/>
  <c r="Q13" i="2"/>
  <c r="Y22" i="2"/>
  <c r="Q12" i="2"/>
  <c r="B17" i="2" s="1"/>
  <c r="X22" i="2"/>
  <c r="E17" i="2" l="1"/>
  <c r="B18" i="2"/>
  <c r="E19" i="2"/>
  <c r="E1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<sst xmlns="http://schemas.openxmlformats.org/spreadsheetml/2006/main" count="28" uniqueCount="26">
  <si>
    <t>Lance Escolhido</t>
  </si>
  <si>
    <t>Lance Mínimo</t>
  </si>
  <si>
    <t>Lance Médio</t>
  </si>
  <si>
    <t>Lance Máximo</t>
  </si>
  <si>
    <t>Qtd. Lance</t>
  </si>
  <si>
    <t>Qtd. Sorteio</t>
  </si>
  <si>
    <t>50% de Chance</t>
  </si>
  <si>
    <t>Inferior</t>
  </si>
  <si>
    <t>70% de Chance</t>
  </si>
  <si>
    <t>Média</t>
  </si>
  <si>
    <t>90% de Chance</t>
  </si>
  <si>
    <t>Superior</t>
  </si>
  <si>
    <t>Escolha do Lance</t>
  </si>
  <si>
    <t>Zona de Contemplação</t>
  </si>
  <si>
    <t>Lance Sugerido</t>
  </si>
  <si>
    <t>Outliers</t>
  </si>
  <si>
    <t>Lance médio (3 assembléias)</t>
  </si>
  <si>
    <t>Contemplados por Lance</t>
  </si>
  <si>
    <t>Contemplados por Sorteio</t>
  </si>
  <si>
    <t>Média (6 meses)</t>
  </si>
  <si>
    <t>Contemplações</t>
  </si>
  <si>
    <t xml:space="preserve">Grupo </t>
  </si>
  <si>
    <t>Faixa de Crédito</t>
  </si>
  <si>
    <t>Estudo de Lances</t>
  </si>
  <si>
    <t>* Somente incluir valores nas céluas em cinza</t>
  </si>
  <si>
    <t>C112296 - José Vagner P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</si>
</sst>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00%"/>
    <numFmt numFmtId="165" formatCode="mmmm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1C2B6E"/>
      <name val="Aptos Narrow"/>
      <family val="2"/>
      <scheme val="minor"/>
    </font>
    <font>
      <b/>
      <sz val="11"/>
      <color rgb="FF1C2B6E"/>
      <name val="Aptos Narrow"/>
      <family val="2"/>
      <scheme val="minor"/>
    </font>
    <font>
      <sz val="11"/>
      <color rgb="FF1C2B6E"/>
      <name val="Aptos Narrow"/>
      <family val="2"/>
      <scheme val="minor"/>
    </font>
    <font>
      <b/>
      <sz val="11"/>
      <color theme="0"/>
      <name val="Century Gothic"/>
      <family val="2"/>
    </font>
    <font>
      <b/>
      <sz val="11"/>
      <color rgb="FF1C2B6E"/>
      <name val="Century Gothic"/>
      <family val="2"/>
    </font>
    <font>
      <b/>
      <sz val="11"/>
      <name val="Century Gothic"/>
      <family val="2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1C2B6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gradientFill degree="180">
        <stop position="0">
          <color rgb="FF0070C0"/>
        </stop>
        <stop position="1">
          <color rgb="FF1C2B6E"/>
        </stop>
      </gradientFill>
    </fill>
    <fill>
      <gradientFill degree="90">
        <stop position="0">
          <color theme="0"/>
        </stop>
        <stop position="1">
          <color theme="0" tint="-0.25098422193060094"/>
        </stop>
      </gradientFill>
    </fill>
  </fills>
  <borders count="9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10" fontId="2" fillId="0" borderId="0" xfId="2" applyNumberFormat="1" applyFont="1" applyFill="1" applyAlignment="1"/>
    <xf numFmtId="9" fontId="2" fillId="0" borderId="0" xfId="2" applyFont="1" applyFill="1" applyAlignment="1"/>
    <xf numFmtId="9" fontId="2" fillId="0" borderId="0" xfId="2" applyFont="1" applyFill="1"/>
    <xf numFmtId="1" fontId="2" fillId="0" borderId="0" xfId="2" applyNumberFormat="1" applyFont="1" applyFill="1" applyAlignment="1"/>
    <xf numFmtId="14" fontId="2" fillId="0" borderId="0" xfId="2" applyNumberFormat="1" applyFont="1" applyFill="1" applyAlignment="1"/>
    <xf numFmtId="9" fontId="2" fillId="0" borderId="0" xfId="0" applyNumberFormat="1" applyFont="1"/>
    <xf numFmtId="1" fontId="2" fillId="0" borderId="0" xfId="0" applyNumberFormat="1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10" fontId="3" fillId="2" borderId="1" xfId="2" applyNumberFormat="1" applyFont="1" applyFill="1" applyBorder="1" applyAlignment="1" applyProtection="1">
      <alignment horizontal="center" vertical="center"/>
      <protection locked="0"/>
    </xf>
    <xf numFmtId="10" fontId="3" fillId="2" borderId="2" xfId="2" applyNumberFormat="1" applyFont="1" applyFill="1" applyBorder="1" applyAlignment="1" applyProtection="1">
      <alignment horizontal="center" vertical="center"/>
      <protection locked="0"/>
    </xf>
    <xf numFmtId="10" fontId="3" fillId="2" borderId="3" xfId="2" applyNumberFormat="1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0" fontId="2" fillId="3" borderId="4" xfId="0" applyNumberFormat="1" applyFont="1" applyFill="1" applyBorder="1"/>
    <xf numFmtId="0" fontId="0" fillId="0" borderId="4" xfId="0" applyBorder="1"/>
    <xf numFmtId="10" fontId="2" fillId="3" borderId="5" xfId="2" applyNumberFormat="1" applyFont="1" applyFill="1" applyBorder="1" applyAlignment="1">
      <alignment horizontal="center"/>
    </xf>
    <xf numFmtId="10" fontId="2" fillId="3" borderId="6" xfId="2" applyNumberFormat="1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0" fontId="2" fillId="3" borderId="4" xfId="0" applyNumberFormat="1" applyFont="1" applyFill="1" applyBorder="1" applyAlignment="1">
      <alignment horizontal="center"/>
    </xf>
    <xf numFmtId="0" fontId="2" fillId="3" borderId="4" xfId="0" applyFont="1" applyFill="1" applyBorder="1"/>
    <xf numFmtId="10" fontId="2" fillId="3" borderId="1" xfId="2" applyNumberFormat="1" applyFont="1" applyFill="1" applyBorder="1" applyAlignment="1">
      <alignment horizontal="center"/>
    </xf>
    <xf numFmtId="10" fontId="2" fillId="3" borderId="3" xfId="2" applyNumberFormat="1" applyFont="1" applyFill="1" applyBorder="1" applyAlignment="1">
      <alignment horizontal="center"/>
    </xf>
    <xf numFmtId="10" fontId="0" fillId="0" borderId="0" xfId="0" applyNumberFormat="1"/>
    <xf numFmtId="10" fontId="0" fillId="0" borderId="0" xfId="2" applyNumberFormat="1" applyFont="1"/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5" fillId="4" borderId="0" xfId="0" applyFont="1" applyFill="1"/>
    <xf numFmtId="0" fontId="4" fillId="4" borderId="4" xfId="0" applyFont="1" applyFill="1" applyBorder="1" applyAlignment="1">
      <alignment horizontal="center"/>
    </xf>
    <xf numFmtId="0" fontId="4" fillId="4" borderId="4" xfId="0" applyFont="1" applyFill="1" applyBorder="1"/>
    <xf numFmtId="10" fontId="0" fillId="0" borderId="0" xfId="2" applyNumberFormat="1" applyFont="1" applyAlignment="1">
      <alignment horizontal="center"/>
    </xf>
    <xf numFmtId="164" fontId="2" fillId="0" borderId="1" xfId="1" applyNumberFormat="1" applyFont="1" applyFill="1" applyBorder="1" applyAlignment="1" applyProtection="1">
      <alignment horizontal="center"/>
    </xf>
    <xf numFmtId="164" fontId="2" fillId="0" borderId="3" xfId="1" applyNumberFormat="1" applyFont="1" applyFill="1" applyBorder="1" applyAlignment="1" applyProtection="1">
      <alignment horizontal="center"/>
    </xf>
    <xf numFmtId="10" fontId="2" fillId="3" borderId="4" xfId="2" applyNumberFormat="1" applyFont="1" applyFill="1" applyBorder="1" applyAlignment="1" applyProtection="1">
      <alignment horizontal="center"/>
    </xf>
    <xf numFmtId="10" fontId="2" fillId="3" borderId="1" xfId="1" applyNumberFormat="1" applyFont="1" applyFill="1" applyBorder="1" applyAlignment="1" applyProtection="1">
      <alignment horizontal="center"/>
    </xf>
    <xf numFmtId="10" fontId="2" fillId="3" borderId="3" xfId="1" applyNumberFormat="1" applyFont="1" applyFill="1" applyBorder="1" applyAlignment="1" applyProtection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10" fontId="0" fillId="0" borderId="0" xfId="2" applyNumberFormat="1" applyFont="1" applyAlignment="1"/>
    <xf numFmtId="0" fontId="0" fillId="0" borderId="4" xfId="0" applyBorder="1" applyAlignment="1">
      <alignment horizontal="left" vertical="center"/>
    </xf>
    <xf numFmtId="1" fontId="0" fillId="0" borderId="0" xfId="0" applyNumberFormat="1"/>
    <xf numFmtId="1" fontId="2" fillId="3" borderId="4" xfId="0" applyNumberFormat="1" applyFont="1" applyFill="1" applyBorder="1" applyAlignment="1">
      <alignment horizontal="center"/>
    </xf>
    <xf numFmtId="165" fontId="2" fillId="3" borderId="4" xfId="0" applyNumberFormat="1" applyFont="1" applyFill="1" applyBorder="1" applyAlignment="1">
      <alignment horizont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9" fontId="7" fillId="0" borderId="0" xfId="2" applyFont="1" applyAlignment="1">
      <alignment horizontal="left"/>
    </xf>
    <xf numFmtId="0" fontId="8" fillId="5" borderId="0" xfId="0" applyFont="1" applyFill="1" applyAlignment="1" applyProtection="1">
      <alignment horizontal="center"/>
      <protection locked="0"/>
    </xf>
    <xf numFmtId="0" fontId="6" fillId="3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9" fillId="0" borderId="0" xfId="0" applyFont="1"/>
    <xf numFmtId="14" fontId="10" fillId="0" borderId="7" xfId="0" applyNumberFormat="1" applyFont="1" applyBorder="1"/>
    <xf numFmtId="0" fontId="2" fillId="0" borderId="8" xfId="0" applyFont="1" applyBorder="1"/>
    <xf numFmtId="0" fontId="9" fillId="7" borderId="8" xfId="0" applyFont="1" applyFill="1" applyBorder="1" applyAlignment="1">
      <alignment horizontal="right"/>
    </xf>
    <xf numFmtId="0" fontId="0" fillId="7" borderId="8" xfId="0" applyFill="1" applyBorder="1"/>
    <xf numFmtId="0" fontId="2" fillId="3" borderId="0" xfId="0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'ESTUDO DE LANCES'!$V$21</c:f>
              <c:strCache>
                <c:ptCount val="1"/>
                <c:pt idx="0">
                  <c:v>Qtd. Sorteio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'ESTUDO DE LANCES'!$U$22:$U$27</c:f>
              <c:numCache>
                <c:formatCode>m/d/yyyy</c:formatCode>
                <c:ptCount val="6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</c:numCache>
            </c:numRef>
          </c:cat>
          <c:val>
            <c:numRef>
              <c:f>'ESTUDO DE LANCES'!$V$22:$V$27</c:f>
              <c:numCache>
                <c:formatCode>0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6-4F9E-9B20-BC0EDD770E7B}"/>
            </c:ext>
          </c:extLst>
        </c:ser>
        <c:ser>
          <c:idx val="1"/>
          <c:order val="1"/>
          <c:tx>
            <c:strRef>
              <c:f>'ESTUDO DE LANCES'!$W$21</c:f>
              <c:strCache>
                <c:ptCount val="1"/>
                <c:pt idx="0">
                  <c:v>Qtd. Lance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'ESTUDO DE LANCES'!$U$22:$U$27</c:f>
              <c:numCache>
                <c:formatCode>m/d/yyyy</c:formatCode>
                <c:ptCount val="6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</c:numCache>
            </c:numRef>
          </c:cat>
          <c:val>
            <c:numRef>
              <c:f>'ESTUDO DE LANCES'!$W$22:$W$27</c:f>
              <c:numCache>
                <c:formatCode>0</c:formatCode>
                <c:ptCount val="6"/>
                <c:pt idx="0">
                  <c:v>11</c:v>
                </c:pt>
                <c:pt idx="1">
                  <c:v>14</c:v>
                </c:pt>
                <c:pt idx="2">
                  <c:v>16</c:v>
                </c:pt>
                <c:pt idx="3">
                  <c:v>30</c:v>
                </c:pt>
                <c:pt idx="4">
                  <c:v>26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D6-4F9E-9B20-BC0EDD770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4754767"/>
        <c:axId val="1464756207"/>
      </c:barChart>
      <c:lineChart>
        <c:grouping val="standard"/>
        <c:varyColors val="0"/>
        <c:ser>
          <c:idx val="2"/>
          <c:order val="2"/>
          <c:tx>
            <c:strRef>
              <c:f>'ESTUDO DE LANCES'!$X$21</c:f>
              <c:strCache>
                <c:ptCount val="1"/>
                <c:pt idx="0">
                  <c:v>Lance Máximo</c:v>
                </c:pt>
              </c:strCache>
            </c:strRef>
          </c:tx>
          <c:spPr>
            <a:ln w="60325" cap="rnd">
              <a:solidFill>
                <a:srgbClr val="C00000"/>
              </a:solidFill>
              <a:round/>
            </a:ln>
            <a:effectLst>
              <a:softEdge rad="0"/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'ESTUDO DE LANCES'!$U$22:$U$27</c:f>
              <c:numCache>
                <c:formatCode>m/d/yyyy</c:formatCode>
                <c:ptCount val="6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</c:numCache>
            </c:numRef>
          </c:cat>
          <c:val>
            <c:numRef>
              <c:f>'ESTUDO DE LANCES'!$X$22:$X$27</c:f>
              <c:numCache>
                <c:formatCode>0%</c:formatCode>
                <c:ptCount val="6"/>
                <c:pt idx="0">
                  <c:v>0.85</c:v>
                </c:pt>
                <c:pt idx="1">
                  <c:v>0.86670000000000003</c:v>
                </c:pt>
                <c:pt idx="2">
                  <c:v>0.86670000000000003</c:v>
                </c:pt>
                <c:pt idx="3">
                  <c:v>0.88</c:v>
                </c:pt>
                <c:pt idx="4">
                  <c:v>0.88</c:v>
                </c:pt>
                <c:pt idx="5">
                  <c:v>0.82099999999999995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5D6-4F9E-9B20-BC0EDD770E7B}"/>
            </c:ext>
          </c:extLst>
        </c:ser>
        <c:ser>
          <c:idx val="3"/>
          <c:order val="3"/>
          <c:tx>
            <c:strRef>
              <c:f>'ESTUDO DE LANCES'!$Y$21</c:f>
              <c:strCache>
                <c:ptCount val="1"/>
                <c:pt idx="0">
                  <c:v>Lance Médio</c:v>
                </c:pt>
              </c:strCache>
            </c:strRef>
          </c:tx>
          <c:spPr>
            <a:ln w="34925" cap="rnd">
              <a:solidFill>
                <a:srgbClr val="FFFF0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'ESTUDO DE LANCES'!$U$22:$U$27</c:f>
              <c:numCache>
                <c:formatCode>m/d/yyyy</c:formatCode>
                <c:ptCount val="6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</c:numCache>
            </c:numRef>
          </c:cat>
          <c:val>
            <c:numRef>
              <c:f>'ESTUDO DE LANCES'!$Y$22:$Y$27</c:f>
              <c:numCache>
                <c:formatCode>0%</c:formatCode>
                <c:ptCount val="6"/>
                <c:pt idx="0">
                  <c:v>0.83169999999999999</c:v>
                </c:pt>
                <c:pt idx="1">
                  <c:v>0.84130000000000005</c:v>
                </c:pt>
                <c:pt idx="2">
                  <c:v>0.84360000000000002</c:v>
                </c:pt>
                <c:pt idx="3">
                  <c:v>0.84530000000000005</c:v>
                </c:pt>
                <c:pt idx="4">
                  <c:v>0.80930000000000002</c:v>
                </c:pt>
                <c:pt idx="5">
                  <c:v>0.78510000000000002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35D6-4F9E-9B20-BC0EDD770E7B}"/>
            </c:ext>
          </c:extLst>
        </c:ser>
        <c:ser>
          <c:idx val="4"/>
          <c:order val="4"/>
          <c:tx>
            <c:strRef>
              <c:f>'ESTUDO DE LANCES'!$Z$21</c:f>
              <c:strCache>
                <c:ptCount val="1"/>
                <c:pt idx="0">
                  <c:v>Lance Mínimo</c:v>
                </c:pt>
              </c:strCache>
            </c:strRef>
          </c:tx>
          <c:spPr>
            <a:ln w="34925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'ESTUDO DE LANCES'!$U$22:$U$27</c:f>
              <c:numCache>
                <c:formatCode>m/d/yyyy</c:formatCode>
                <c:ptCount val="6"/>
                <c:pt idx="0">
                  <c:v>45839</c:v>
                </c:pt>
                <c:pt idx="1">
                  <c:v>45870</c:v>
                </c:pt>
                <c:pt idx="2">
                  <c:v>45901</c:v>
                </c:pt>
                <c:pt idx="3">
                  <c:v>45931</c:v>
                </c:pt>
                <c:pt idx="4">
                  <c:v>45962</c:v>
                </c:pt>
                <c:pt idx="5">
                  <c:v>45992</c:v>
                </c:pt>
              </c:numCache>
            </c:numRef>
          </c:cat>
          <c:val>
            <c:numRef>
              <c:f>'ESTUDO DE LANCES'!$Z$22:$Z$27</c:f>
              <c:numCache>
                <c:formatCode>0%</c:formatCode>
                <c:ptCount val="6"/>
                <c:pt idx="0">
                  <c:v>0.82</c:v>
                </c:pt>
                <c:pt idx="1">
                  <c:v>0.83499999999999996</c:v>
                </c:pt>
                <c:pt idx="2">
                  <c:v>0.83499999999999996</c:v>
                </c:pt>
                <c:pt idx="3">
                  <c:v>0.80010000000000003</c:v>
                </c:pt>
                <c:pt idx="4">
                  <c:v>0.75</c:v>
                </c:pt>
                <c:pt idx="5">
                  <c:v>0.75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35D6-4F9E-9B20-BC0EDD770E7B}"/>
            </c:ext>
          </c:extLst>
        </c:ser>
        <c:ser>
          <c:idx val="5"/>
          <c:order val="5"/>
          <c:tx>
            <c:strRef>
              <c:f>'ESTUDO DE LANCES'!$AA$21</c:f>
              <c:strCache>
                <c:ptCount val="1"/>
                <c:pt idx="0">
                  <c:v>Lance Escolhido</c:v>
                </c:pt>
              </c:strCache>
            </c:strRef>
          </c:tx>
          <c:spPr>
            <a:ln w="60325" cap="rnd">
              <a:solidFill>
                <a:srgbClr val="1C2B6E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'ESTUDO DE LANCES'!$AA$22:$AA$27</c:f>
              <c:numCache>
                <c:formatCode>0%</c:formatCode>
                <c:ptCount val="6"/>
                <c:pt idx="0">
                  <c:v>0.78</c:v>
                </c:pt>
                <c:pt idx="1">
                  <c:v>0.78</c:v>
                </c:pt>
                <c:pt idx="2">
                  <c:v>0.78</c:v>
                </c:pt>
                <c:pt idx="3">
                  <c:v>0.78</c:v>
                </c:pt>
                <c:pt idx="4">
                  <c:v>0.78</c:v>
                </c:pt>
                <c:pt idx="5">
                  <c:v>0.78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35D6-4F9E-9B20-BC0EDD770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761487"/>
        <c:axId val="1464761007"/>
      </c:lineChart>
      <c:dateAx>
        <c:axId val="1464754767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756207"/>
        <c:crosses val="autoZero"/>
        <c:auto val="1"/>
        <c:lblOffset val="100"/>
        <c:baseTimeUnit val="months"/>
      </c:dateAx>
      <c:valAx>
        <c:axId val="14647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754767"/>
        <c:crosses val="autoZero"/>
        <c:crossBetween val="between"/>
      </c:valAx>
      <c:valAx>
        <c:axId val="1464761007"/>
        <c:scaling>
          <c:orientation val="minMax"/>
          <c:max val="0.9"/>
          <c:min val="0.5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4761487"/>
        <c:crosses val="max"/>
        <c:crossBetween val="between"/>
      </c:valAx>
      <c:dateAx>
        <c:axId val="1464761487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464761007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OPERACOES ESTRUTURADAS'!A1"/><Relationship Id="rId13" Type="http://schemas.openxmlformats.org/officeDocument/2006/relationships/image" Target="../media/image9.svg"/><Relationship Id="rId18" Type="http://schemas.openxmlformats.org/officeDocument/2006/relationships/image" Target="../media/image12.png"/><Relationship Id="rId26" Type="http://schemas.openxmlformats.org/officeDocument/2006/relationships/image" Target="../media/image17.png"/><Relationship Id="rId3" Type="http://schemas.openxmlformats.org/officeDocument/2006/relationships/image" Target="../media/image2.png"/><Relationship Id="rId21" Type="http://schemas.openxmlformats.org/officeDocument/2006/relationships/image" Target="../media/image14.png"/><Relationship Id="rId7" Type="http://schemas.openxmlformats.org/officeDocument/2006/relationships/image" Target="../media/image5.svg"/><Relationship Id="rId12" Type="http://schemas.openxmlformats.org/officeDocument/2006/relationships/image" Target="../media/image8.png"/><Relationship Id="rId17" Type="http://schemas.openxmlformats.org/officeDocument/2006/relationships/hyperlink" Target="#'GRAFICO DE COMPARACAO'!A1"/><Relationship Id="rId25" Type="http://schemas.openxmlformats.org/officeDocument/2006/relationships/image" Target="../media/image16.svg"/><Relationship Id="rId2" Type="http://schemas.openxmlformats.org/officeDocument/2006/relationships/hyperlink" Target="#'CONSORCIO X FINANCIAMENTO'!A1"/><Relationship Id="rId16" Type="http://schemas.openxmlformats.org/officeDocument/2006/relationships/image" Target="../media/image11.svg"/><Relationship Id="rId20" Type="http://schemas.openxmlformats.org/officeDocument/2006/relationships/hyperlink" Target="#SIMULADOR!A1"/><Relationship Id="rId29" Type="http://schemas.openxmlformats.org/officeDocument/2006/relationships/image" Target="../media/image20.svg"/><Relationship Id="rId1" Type="http://schemas.openxmlformats.org/officeDocument/2006/relationships/image" Target="../media/image1.jpg"/><Relationship Id="rId6" Type="http://schemas.openxmlformats.org/officeDocument/2006/relationships/image" Target="../media/image4.png"/><Relationship Id="rId11" Type="http://schemas.openxmlformats.org/officeDocument/2006/relationships/hyperlink" Target="#'CONSORCIO COMO INVESTIMENTO'!A1"/><Relationship Id="rId24" Type="http://schemas.openxmlformats.org/officeDocument/2006/relationships/image" Target="../media/image15.png"/><Relationship Id="rId5" Type="http://schemas.openxmlformats.org/officeDocument/2006/relationships/hyperlink" Target="#'CONSORCIO X A VISTA'!A1"/><Relationship Id="rId15" Type="http://schemas.openxmlformats.org/officeDocument/2006/relationships/image" Target="../media/image10.png"/><Relationship Id="rId23" Type="http://schemas.openxmlformats.org/officeDocument/2006/relationships/chart" Target="../charts/chart1.xml"/><Relationship Id="rId28" Type="http://schemas.openxmlformats.org/officeDocument/2006/relationships/image" Target="../media/image19.png"/><Relationship Id="rId10" Type="http://schemas.openxmlformats.org/officeDocument/2006/relationships/image" Target="../media/image7.svg"/><Relationship Id="rId19" Type="http://schemas.openxmlformats.org/officeDocument/2006/relationships/image" Target="../media/image13.svg"/><Relationship Id="rId31" Type="http://schemas.openxmlformats.org/officeDocument/2006/relationships/hyperlink" Target="#'ESTUDO DE LANCES Pesados'!A1"/><Relationship Id="rId4" Type="http://schemas.openxmlformats.org/officeDocument/2006/relationships/image" Target="../media/image3.svg"/><Relationship Id="rId9" Type="http://schemas.openxmlformats.org/officeDocument/2006/relationships/image" Target="../media/image6.png"/><Relationship Id="rId14" Type="http://schemas.openxmlformats.org/officeDocument/2006/relationships/hyperlink" Target="#'ESTUDO DE LANCES'!A1"/><Relationship Id="rId22" Type="http://schemas.microsoft.com/office/2007/relationships/hdphoto" Target="../media/hdphoto1.wdp"/><Relationship Id="rId27" Type="http://schemas.openxmlformats.org/officeDocument/2006/relationships/image" Target="../media/image18.svg"/><Relationship Id="rId30" Type="http://schemas.openxmlformats.org/officeDocument/2006/relationships/hyperlink" Target="#'ESTUDO DE LANCES Aut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485775</xdr:colOff>
      <xdr:row>0</xdr:row>
      <xdr:rowOff>857250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CB776C8B-1409-46E6-89A7-ECB047109BC1}"/>
            </a:ext>
          </a:extLst>
        </xdr:cNvPr>
        <xdr:cNvSpPr/>
      </xdr:nvSpPr>
      <xdr:spPr>
        <a:xfrm>
          <a:off x="0" y="0"/>
          <a:ext cx="2314575" cy="190500"/>
        </a:xfrm>
        <a:prstGeom prst="rect">
          <a:avLst/>
        </a:prstGeom>
        <a:gradFill flip="none" rotWithShape="1">
          <a:gsLst>
            <a:gs pos="0">
              <a:schemeClr val="tx2">
                <a:lumMod val="75000"/>
                <a:lumOff val="25000"/>
              </a:schemeClr>
            </a:gs>
            <a:gs pos="72000">
              <a:srgbClr val="1C2B6E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0</xdr:col>
      <xdr:colOff>133350</xdr:colOff>
      <xdr:row>0</xdr:row>
      <xdr:rowOff>104775</xdr:rowOff>
    </xdr:from>
    <xdr:ext cx="1049755" cy="1058478"/>
    <xdr:pic>
      <xdr:nvPicPr>
        <xdr:cNvPr id="3" name="Imagem 2">
          <a:extLst>
            <a:ext uri="{FF2B5EF4-FFF2-40B4-BE49-F238E27FC236}">
              <a16:creationId xmlns:a16="http://schemas.microsoft.com/office/drawing/2014/main" id="{53EE428F-7D0C-4AFA-88F6-61880BB7C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04775"/>
          <a:ext cx="1049755" cy="1058478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/>
      </xdr:spPr>
    </xdr:pic>
    <xdr:clientData/>
  </xdr:oneCellAnchor>
  <xdr:twoCellAnchor>
    <xdr:from>
      <xdr:col>3</xdr:col>
      <xdr:colOff>9524</xdr:colOff>
      <xdr:row>0</xdr:row>
      <xdr:rowOff>9526</xdr:rowOff>
    </xdr:from>
    <xdr:to>
      <xdr:col>5</xdr:col>
      <xdr:colOff>28575</xdr:colOff>
      <xdr:row>0</xdr:row>
      <xdr:rowOff>828675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6D047EA-77A3-4142-A86C-B94DCFCEBD1C}"/>
            </a:ext>
          </a:extLst>
        </xdr:cNvPr>
        <xdr:cNvSpPr/>
      </xdr:nvSpPr>
      <xdr:spPr>
        <a:xfrm>
          <a:off x="1838324" y="9526"/>
          <a:ext cx="1238251" cy="180974"/>
        </a:xfrm>
        <a:prstGeom prst="rect">
          <a:avLst/>
        </a:prstGeom>
        <a:solidFill>
          <a:srgbClr val="1C2B6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114300</xdr:colOff>
      <xdr:row>0</xdr:row>
      <xdr:rowOff>0</xdr:rowOff>
    </xdr:from>
    <xdr:to>
      <xdr:col>7</xdr:col>
      <xdr:colOff>200026</xdr:colOff>
      <xdr:row>1</xdr:row>
      <xdr:rowOff>1275</xdr:rowOff>
    </xdr:to>
    <xdr:grpSp>
      <xdr:nvGrpSpPr>
        <xdr:cNvPr id="5" name="Agrupar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68E94DB-5FDD-4DDE-BFCA-31BEC86333FE}"/>
            </a:ext>
          </a:extLst>
        </xdr:cNvPr>
        <xdr:cNvGrpSpPr/>
      </xdr:nvGrpSpPr>
      <xdr:grpSpPr>
        <a:xfrm>
          <a:off x="3172326" y="0"/>
          <a:ext cx="1308937" cy="863538"/>
          <a:chOff x="3162300" y="0"/>
          <a:chExt cx="1304926" cy="868050"/>
        </a:xfrm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59E79955-57B3-9F35-3D8B-733DC1D2ECAF}"/>
              </a:ext>
            </a:extLst>
          </xdr:cNvPr>
          <xdr:cNvSpPr/>
        </xdr:nvSpPr>
        <xdr:spPr>
          <a:xfrm>
            <a:off x="3162300" y="0"/>
            <a:ext cx="1304926" cy="866775"/>
          </a:xfrm>
          <a:prstGeom prst="rect">
            <a:avLst/>
          </a:prstGeom>
          <a:solidFill>
            <a:srgbClr val="1C2B6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7" name="CaixaDeTexto 6">
            <a:extLst>
              <a:ext uri="{FF2B5EF4-FFF2-40B4-BE49-F238E27FC236}">
                <a16:creationId xmlns:a16="http://schemas.microsoft.com/office/drawing/2014/main" id="{367E2012-2577-E099-3A9A-BAB57E8ED235}"/>
              </a:ext>
            </a:extLst>
          </xdr:cNvPr>
          <xdr:cNvSpPr txBox="1"/>
        </xdr:nvSpPr>
        <xdr:spPr>
          <a:xfrm>
            <a:off x="3305176" y="400050"/>
            <a:ext cx="1019175" cy="468000"/>
          </a:xfrm>
          <a:prstGeom prst="rect">
            <a:avLst/>
          </a:prstGeom>
          <a:solidFill>
            <a:srgbClr val="1C2B6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800">
                <a:solidFill>
                  <a:schemeClr val="bg1"/>
                </a:solidFill>
                <a:latin typeface="Century Gothic" panose="020B0502020202020204" pitchFamily="34" charset="0"/>
              </a:rPr>
              <a:t>CONSÓRCIO</a:t>
            </a:r>
            <a:r>
              <a:rPr lang="pt-BR" sz="800" baseline="0">
                <a:solidFill>
                  <a:schemeClr val="bg1"/>
                </a:solidFill>
                <a:latin typeface="Century Gothic" panose="020B0502020202020204" pitchFamily="34" charset="0"/>
              </a:rPr>
              <a:t> </a:t>
            </a:r>
          </a:p>
          <a:p>
            <a:pPr algn="ctr"/>
            <a:r>
              <a:rPr lang="pt-BR" sz="800" baseline="0">
                <a:solidFill>
                  <a:schemeClr val="bg1"/>
                </a:solidFill>
                <a:latin typeface="Century Gothic" panose="020B0502020202020204" pitchFamily="34" charset="0"/>
              </a:rPr>
              <a:t>X</a:t>
            </a:r>
          </a:p>
          <a:p>
            <a:pPr algn="ctr"/>
            <a:r>
              <a:rPr lang="pt-BR" sz="800" baseline="0">
                <a:solidFill>
                  <a:schemeClr val="bg1"/>
                </a:solidFill>
                <a:latin typeface="Century Gothic" panose="020B0502020202020204" pitchFamily="34" charset="0"/>
              </a:rPr>
              <a:t>FINANCIAMENTO</a:t>
            </a:r>
            <a:endParaRPr lang="pt-BR" sz="800">
              <a:solidFill>
                <a:schemeClr val="bg1"/>
              </a:solidFill>
              <a:latin typeface="Century Gothic" panose="020B0502020202020204" pitchFamily="34" charset="0"/>
            </a:endParaRPr>
          </a:p>
        </xdr:txBody>
      </xdr:sp>
      <xdr:pic>
        <xdr:nvPicPr>
          <xdr:cNvPr id="8" name="Gráfico 7" descr="Gráfico de barras com preenchimento sólido">
            <a:extLst>
              <a:ext uri="{FF2B5EF4-FFF2-40B4-BE49-F238E27FC236}">
                <a16:creationId xmlns:a16="http://schemas.microsoft.com/office/drawing/2014/main" id="{7A3196C1-8A7E-7053-4987-C480FF8F28F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3619500" y="57150"/>
            <a:ext cx="371475" cy="37147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200025</xdr:colOff>
      <xdr:row>0</xdr:row>
      <xdr:rowOff>0</xdr:rowOff>
    </xdr:from>
    <xdr:to>
      <xdr:col>9</xdr:col>
      <xdr:colOff>285751</xdr:colOff>
      <xdr:row>1</xdr:row>
      <xdr:rowOff>1275</xdr:rowOff>
    </xdr:to>
    <xdr:grpSp>
      <xdr:nvGrpSpPr>
        <xdr:cNvPr id="9" name="Agrupar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A99D86A-01BC-4CFC-B412-371A392B3590}"/>
            </a:ext>
          </a:extLst>
        </xdr:cNvPr>
        <xdr:cNvGrpSpPr/>
      </xdr:nvGrpSpPr>
      <xdr:grpSpPr>
        <a:xfrm>
          <a:off x="4481262" y="0"/>
          <a:ext cx="1308936" cy="863538"/>
          <a:chOff x="4467225" y="0"/>
          <a:chExt cx="1304926" cy="868050"/>
        </a:xfrm>
      </xdr:grpSpPr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010FA844-E196-499A-00BE-FDAC51ADAB7B}"/>
              </a:ext>
            </a:extLst>
          </xdr:cNvPr>
          <xdr:cNvSpPr/>
        </xdr:nvSpPr>
        <xdr:spPr>
          <a:xfrm>
            <a:off x="4467225" y="0"/>
            <a:ext cx="1304926" cy="866775"/>
          </a:xfrm>
          <a:prstGeom prst="rect">
            <a:avLst/>
          </a:prstGeom>
          <a:solidFill>
            <a:srgbClr val="1C2B6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1" name="CaixaDeTexto 10">
            <a:extLst>
              <a:ext uri="{FF2B5EF4-FFF2-40B4-BE49-F238E27FC236}">
                <a16:creationId xmlns:a16="http://schemas.microsoft.com/office/drawing/2014/main" id="{CE79E7EA-8663-4CFF-E77F-C2ABB2530810}"/>
              </a:ext>
            </a:extLst>
          </xdr:cNvPr>
          <xdr:cNvSpPr txBox="1"/>
        </xdr:nvSpPr>
        <xdr:spPr>
          <a:xfrm>
            <a:off x="4610101" y="400050"/>
            <a:ext cx="1019175" cy="468000"/>
          </a:xfrm>
          <a:prstGeom prst="rect">
            <a:avLst/>
          </a:prstGeom>
          <a:solidFill>
            <a:srgbClr val="1C2B6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800">
                <a:solidFill>
                  <a:schemeClr val="bg1"/>
                </a:solidFill>
                <a:latin typeface="Century Gothic" panose="020B0502020202020204" pitchFamily="34" charset="0"/>
              </a:rPr>
              <a:t>CONSÓRCIO</a:t>
            </a:r>
            <a:r>
              <a:rPr lang="pt-BR" sz="800" baseline="0">
                <a:solidFill>
                  <a:schemeClr val="bg1"/>
                </a:solidFill>
                <a:latin typeface="Century Gothic" panose="020B0502020202020204" pitchFamily="34" charset="0"/>
              </a:rPr>
              <a:t> </a:t>
            </a:r>
          </a:p>
          <a:p>
            <a:pPr algn="ctr"/>
            <a:r>
              <a:rPr lang="pt-BR" sz="800" baseline="0">
                <a:solidFill>
                  <a:schemeClr val="bg1"/>
                </a:solidFill>
                <a:latin typeface="Century Gothic" panose="020B0502020202020204" pitchFamily="34" charset="0"/>
              </a:rPr>
              <a:t>X</a:t>
            </a:r>
          </a:p>
          <a:p>
            <a:pPr algn="ctr"/>
            <a:r>
              <a:rPr lang="pt-BR" sz="800" baseline="0">
                <a:solidFill>
                  <a:schemeClr val="bg1"/>
                </a:solidFill>
                <a:latin typeface="Century Gothic" panose="020B0502020202020204" pitchFamily="34" charset="0"/>
              </a:rPr>
              <a:t>Á VISTA</a:t>
            </a:r>
            <a:endParaRPr lang="pt-BR" sz="800">
              <a:solidFill>
                <a:schemeClr val="bg1"/>
              </a:solidFill>
              <a:latin typeface="Century Gothic" panose="020B0502020202020204" pitchFamily="34" charset="0"/>
            </a:endParaRPr>
          </a:p>
        </xdr:txBody>
      </xdr:sp>
      <xdr:pic>
        <xdr:nvPicPr>
          <xdr:cNvPr id="12" name="Gráfico 11" descr="Dinheiro com preenchimento sólido">
            <a:extLst>
              <a:ext uri="{FF2B5EF4-FFF2-40B4-BE49-F238E27FC236}">
                <a16:creationId xmlns:a16="http://schemas.microsoft.com/office/drawing/2014/main" id="{6852C900-A55D-5453-62C6-7226DC3655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>
            <a:extLs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4933950" y="38100"/>
            <a:ext cx="371475" cy="37147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285750</xdr:colOff>
      <xdr:row>0</xdr:row>
      <xdr:rowOff>0</xdr:rowOff>
    </xdr:from>
    <xdr:to>
      <xdr:col>11</xdr:col>
      <xdr:colOff>371476</xdr:colOff>
      <xdr:row>1</xdr:row>
      <xdr:rowOff>1275</xdr:rowOff>
    </xdr:to>
    <xdr:grpSp>
      <xdr:nvGrpSpPr>
        <xdr:cNvPr id="13" name="Agrupar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D1BF09D-C0B3-42DC-B4E1-F38D8C3D5A7D}"/>
            </a:ext>
          </a:extLst>
        </xdr:cNvPr>
        <xdr:cNvGrpSpPr/>
      </xdr:nvGrpSpPr>
      <xdr:grpSpPr>
        <a:xfrm>
          <a:off x="5790197" y="0"/>
          <a:ext cx="1308937" cy="863538"/>
          <a:chOff x="5772150" y="0"/>
          <a:chExt cx="1304926" cy="868050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237D18BA-157C-1CCA-68AC-CD6B4ADF8784}"/>
              </a:ext>
            </a:extLst>
          </xdr:cNvPr>
          <xdr:cNvSpPr/>
        </xdr:nvSpPr>
        <xdr:spPr>
          <a:xfrm>
            <a:off x="5772150" y="0"/>
            <a:ext cx="1304926" cy="866775"/>
          </a:xfrm>
          <a:prstGeom prst="rect">
            <a:avLst/>
          </a:prstGeom>
          <a:solidFill>
            <a:srgbClr val="1C2B6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5" name="CaixaDeTexto 14">
            <a:extLst>
              <a:ext uri="{FF2B5EF4-FFF2-40B4-BE49-F238E27FC236}">
                <a16:creationId xmlns:a16="http://schemas.microsoft.com/office/drawing/2014/main" id="{311A2D37-1AA1-3761-02AF-DA31FBDED5BC}"/>
              </a:ext>
            </a:extLst>
          </xdr:cNvPr>
          <xdr:cNvSpPr txBox="1"/>
        </xdr:nvSpPr>
        <xdr:spPr>
          <a:xfrm>
            <a:off x="5867401" y="400050"/>
            <a:ext cx="1019175" cy="468000"/>
          </a:xfrm>
          <a:prstGeom prst="rect">
            <a:avLst/>
          </a:prstGeom>
          <a:solidFill>
            <a:srgbClr val="1C2B6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800">
              <a:solidFill>
                <a:schemeClr val="bg1"/>
              </a:solidFill>
              <a:latin typeface="Century Gothic" panose="020B0502020202020204" pitchFamily="34" charset="0"/>
            </a:endParaRPr>
          </a:p>
          <a:p>
            <a:pPr algn="ctr"/>
            <a:r>
              <a:rPr lang="pt-BR" sz="800">
                <a:solidFill>
                  <a:schemeClr val="bg1"/>
                </a:solidFill>
                <a:latin typeface="Century Gothic" panose="020B0502020202020204" pitchFamily="34" charset="0"/>
              </a:rPr>
              <a:t>OPERAÇÕES ESTRUTURADAS</a:t>
            </a:r>
          </a:p>
        </xdr:txBody>
      </xdr:sp>
      <xdr:pic>
        <xdr:nvPicPr>
          <xdr:cNvPr id="16" name="Gráfico 15" descr="Pessoa com ideia com preenchimento sólido">
            <a:extLst>
              <a:ext uri="{FF2B5EF4-FFF2-40B4-BE49-F238E27FC236}">
                <a16:creationId xmlns:a16="http://schemas.microsoft.com/office/drawing/2014/main" id="{CDEEE1F1-FFDC-B5AA-5C7A-2790FCDC747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6153150" y="76200"/>
            <a:ext cx="466725" cy="466725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371475</xdr:colOff>
      <xdr:row>0</xdr:row>
      <xdr:rowOff>0</xdr:rowOff>
    </xdr:from>
    <xdr:to>
      <xdr:col>13</xdr:col>
      <xdr:colOff>457201</xdr:colOff>
      <xdr:row>1</xdr:row>
      <xdr:rowOff>1275</xdr:rowOff>
    </xdr:to>
    <xdr:grpSp>
      <xdr:nvGrpSpPr>
        <xdr:cNvPr id="17" name="Agrupar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11A3BD6-D14B-4EC4-AEEB-9B5979B7B884}"/>
            </a:ext>
          </a:extLst>
        </xdr:cNvPr>
        <xdr:cNvGrpSpPr/>
      </xdr:nvGrpSpPr>
      <xdr:grpSpPr>
        <a:xfrm>
          <a:off x="7099133" y="0"/>
          <a:ext cx="1308936" cy="863538"/>
          <a:chOff x="7077075" y="0"/>
          <a:chExt cx="1304926" cy="868050"/>
        </a:xfrm>
      </xdr:grpSpPr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3157EBBB-0BDC-AEE8-CC9F-88C0BCC6AFA7}"/>
              </a:ext>
            </a:extLst>
          </xdr:cNvPr>
          <xdr:cNvSpPr/>
        </xdr:nvSpPr>
        <xdr:spPr>
          <a:xfrm>
            <a:off x="7077075" y="0"/>
            <a:ext cx="1304926" cy="866775"/>
          </a:xfrm>
          <a:prstGeom prst="rect">
            <a:avLst/>
          </a:prstGeom>
          <a:solidFill>
            <a:srgbClr val="1C2B6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19" name="CaixaDeTexto 18">
            <a:extLst>
              <a:ext uri="{FF2B5EF4-FFF2-40B4-BE49-F238E27FC236}">
                <a16:creationId xmlns:a16="http://schemas.microsoft.com/office/drawing/2014/main" id="{11CCF215-C993-6251-7EE2-76504A307DFB}"/>
              </a:ext>
            </a:extLst>
          </xdr:cNvPr>
          <xdr:cNvSpPr txBox="1"/>
        </xdr:nvSpPr>
        <xdr:spPr>
          <a:xfrm>
            <a:off x="7210426" y="400050"/>
            <a:ext cx="1019175" cy="468000"/>
          </a:xfrm>
          <a:prstGeom prst="rect">
            <a:avLst/>
          </a:prstGeom>
          <a:solidFill>
            <a:srgbClr val="1C2B6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800">
                <a:solidFill>
                  <a:schemeClr val="bg1"/>
                </a:solidFill>
                <a:latin typeface="Century Gothic" panose="020B0502020202020204" pitchFamily="34" charset="0"/>
              </a:rPr>
              <a:t>CONSÓRCIO COMO INVESTIMENTO</a:t>
            </a:r>
          </a:p>
        </xdr:txBody>
      </xdr:sp>
      <xdr:pic>
        <xdr:nvPicPr>
          <xdr:cNvPr id="20" name="Gráfico 19" descr="Cofrinho com preenchimento sólido">
            <a:extLst>
              <a:ext uri="{FF2B5EF4-FFF2-40B4-BE49-F238E27FC236}">
                <a16:creationId xmlns:a16="http://schemas.microsoft.com/office/drawing/2014/main" id="{866C5C41-25F3-2DBD-D3F5-B46B52B947C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2">
            <a:extLst>
              <a:ext uri="{96DAC541-7B7A-43D3-8B79-37D633B846F1}">
                <asvg:svgBlip xmlns:asvg="http://schemas.microsoft.com/office/drawing/2016/SVG/main" r:embed="rId13"/>
              </a:ext>
            </a:extLst>
          </a:blip>
          <a:stretch>
            <a:fillRect/>
          </a:stretch>
        </xdr:blipFill>
        <xdr:spPr>
          <a:xfrm>
            <a:off x="7534275" y="57150"/>
            <a:ext cx="381000" cy="381000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457200</xdr:colOff>
      <xdr:row>0</xdr:row>
      <xdr:rowOff>0</xdr:rowOff>
    </xdr:from>
    <xdr:to>
      <xdr:col>15</xdr:col>
      <xdr:colOff>542926</xdr:colOff>
      <xdr:row>1</xdr:row>
      <xdr:rowOff>1275</xdr:rowOff>
    </xdr:to>
    <xdr:grpSp>
      <xdr:nvGrpSpPr>
        <xdr:cNvPr id="21" name="Agrupar 2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DCE0D410-8AB9-4742-A375-D6AA44746044}"/>
            </a:ext>
          </a:extLst>
        </xdr:cNvPr>
        <xdr:cNvGrpSpPr/>
      </xdr:nvGrpSpPr>
      <xdr:grpSpPr>
        <a:xfrm>
          <a:off x="8408068" y="0"/>
          <a:ext cx="1308937" cy="863538"/>
          <a:chOff x="8382000" y="0"/>
          <a:chExt cx="1304926" cy="868050"/>
        </a:xfrm>
        <a:solidFill>
          <a:schemeClr val="bg1"/>
        </a:solidFill>
      </xdr:grpSpPr>
      <xdr:sp macro="" textlink="">
        <xdr:nvSpPr>
          <xdr:cNvPr id="22" name="Retângulo 21">
            <a:extLst>
              <a:ext uri="{FF2B5EF4-FFF2-40B4-BE49-F238E27FC236}">
                <a16:creationId xmlns:a16="http://schemas.microsoft.com/office/drawing/2014/main" id="{8570318C-0734-6BB2-3385-ADCE19B104B4}"/>
              </a:ext>
            </a:extLst>
          </xdr:cNvPr>
          <xdr:cNvSpPr/>
        </xdr:nvSpPr>
        <xdr:spPr>
          <a:xfrm>
            <a:off x="8382000" y="0"/>
            <a:ext cx="1304926" cy="86677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3" name="CaixaDeTexto 22">
            <a:hlinkClick xmlns:r="http://schemas.openxmlformats.org/officeDocument/2006/relationships" r:id="rId14"/>
            <a:extLst>
              <a:ext uri="{FF2B5EF4-FFF2-40B4-BE49-F238E27FC236}">
                <a16:creationId xmlns:a16="http://schemas.microsoft.com/office/drawing/2014/main" id="{D10F78CC-C487-8919-2B56-136B4C7142FD}"/>
              </a:ext>
            </a:extLst>
          </xdr:cNvPr>
          <xdr:cNvSpPr txBox="1"/>
        </xdr:nvSpPr>
        <xdr:spPr>
          <a:xfrm>
            <a:off x="8524876" y="400050"/>
            <a:ext cx="1019175" cy="46800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800">
                <a:solidFill>
                  <a:srgbClr val="1C2B6E"/>
                </a:solidFill>
                <a:latin typeface="Century Gothic" panose="020B0502020202020204" pitchFamily="34" charset="0"/>
              </a:rPr>
              <a:t>ESTUDO </a:t>
            </a:r>
          </a:p>
          <a:p>
            <a:pPr algn="ctr"/>
            <a:r>
              <a:rPr lang="pt-BR" sz="800">
                <a:solidFill>
                  <a:srgbClr val="1C2B6E"/>
                </a:solidFill>
                <a:latin typeface="Century Gothic" panose="020B0502020202020204" pitchFamily="34" charset="0"/>
              </a:rPr>
              <a:t>DE</a:t>
            </a:r>
          </a:p>
          <a:p>
            <a:pPr algn="ctr"/>
            <a:r>
              <a:rPr lang="pt-BR" sz="800">
                <a:solidFill>
                  <a:srgbClr val="1C2B6E"/>
                </a:solidFill>
                <a:latin typeface="Century Gothic" panose="020B0502020202020204" pitchFamily="34" charset="0"/>
              </a:rPr>
              <a:t> LANCES</a:t>
            </a:r>
          </a:p>
        </xdr:txBody>
      </xdr:sp>
      <xdr:pic>
        <xdr:nvPicPr>
          <xdr:cNvPr id="24" name="Gráfico 23" descr="Alvo com preenchimento sólido">
            <a:extLst>
              <a:ext uri="{FF2B5EF4-FFF2-40B4-BE49-F238E27FC236}">
                <a16:creationId xmlns:a16="http://schemas.microsoft.com/office/drawing/2014/main" id="{90361A21-FF36-26E2-A475-B06E34409E0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5">
            <a:extLst>
              <a:ext uri="{96DAC541-7B7A-43D3-8B79-37D633B846F1}">
                <asvg:svgBlip xmlns:asvg="http://schemas.microsoft.com/office/drawing/2016/SVG/main" r:embed="rId16"/>
              </a:ext>
            </a:extLst>
          </a:blip>
          <a:stretch>
            <a:fillRect/>
          </a:stretch>
        </xdr:blipFill>
        <xdr:spPr>
          <a:xfrm>
            <a:off x="8848725" y="85725"/>
            <a:ext cx="371475" cy="371475"/>
          </a:xfrm>
          <a:prstGeom prst="rect">
            <a:avLst/>
          </a:prstGeom>
        </xdr:spPr>
      </xdr:pic>
    </xdr:grpSp>
    <xdr:clientData/>
  </xdr:twoCellAnchor>
  <xdr:twoCellAnchor>
    <xdr:from>
      <xdr:col>15</xdr:col>
      <xdr:colOff>542925</xdr:colOff>
      <xdr:row>0</xdr:row>
      <xdr:rowOff>0</xdr:rowOff>
    </xdr:from>
    <xdr:to>
      <xdr:col>18</xdr:col>
      <xdr:colOff>19051</xdr:colOff>
      <xdr:row>1</xdr:row>
      <xdr:rowOff>1275</xdr:rowOff>
    </xdr:to>
    <xdr:grpSp>
      <xdr:nvGrpSpPr>
        <xdr:cNvPr id="25" name="Agrupar 2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894DDB3-1819-46DF-8E74-5CCEC27DF7B5}"/>
            </a:ext>
          </a:extLst>
        </xdr:cNvPr>
        <xdr:cNvGrpSpPr/>
      </xdr:nvGrpSpPr>
      <xdr:grpSpPr>
        <a:xfrm>
          <a:off x="9717004" y="0"/>
          <a:ext cx="1310942" cy="863538"/>
          <a:chOff x="9686925" y="0"/>
          <a:chExt cx="1304926" cy="868050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48141211-C405-D2D4-DE21-2AA4D54A9BE0}"/>
              </a:ext>
            </a:extLst>
          </xdr:cNvPr>
          <xdr:cNvSpPr/>
        </xdr:nvSpPr>
        <xdr:spPr>
          <a:xfrm>
            <a:off x="9686925" y="0"/>
            <a:ext cx="1304926" cy="866775"/>
          </a:xfrm>
          <a:prstGeom prst="rect">
            <a:avLst/>
          </a:prstGeom>
          <a:solidFill>
            <a:srgbClr val="1C2B6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44710CCA-E0EC-920F-E600-5ADDE11DFE56}"/>
              </a:ext>
            </a:extLst>
          </xdr:cNvPr>
          <xdr:cNvSpPr txBox="1"/>
        </xdr:nvSpPr>
        <xdr:spPr>
          <a:xfrm>
            <a:off x="9829801" y="400050"/>
            <a:ext cx="1019175" cy="468000"/>
          </a:xfrm>
          <a:prstGeom prst="rect">
            <a:avLst/>
          </a:prstGeom>
          <a:solidFill>
            <a:srgbClr val="1C2B6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800">
                <a:solidFill>
                  <a:schemeClr val="bg1"/>
                </a:solidFill>
                <a:latin typeface="Century Gothic" panose="020B0502020202020204" pitchFamily="34" charset="0"/>
              </a:rPr>
              <a:t>GRÁFICO</a:t>
            </a:r>
          </a:p>
          <a:p>
            <a:pPr algn="ctr"/>
            <a:r>
              <a:rPr lang="pt-BR" sz="800">
                <a:solidFill>
                  <a:schemeClr val="bg1"/>
                </a:solidFill>
                <a:latin typeface="Century Gothic" panose="020B0502020202020204" pitchFamily="34" charset="0"/>
              </a:rPr>
              <a:t> DE</a:t>
            </a:r>
          </a:p>
          <a:p>
            <a:pPr algn="ctr"/>
            <a:r>
              <a:rPr lang="pt-BR" sz="800">
                <a:solidFill>
                  <a:schemeClr val="bg1"/>
                </a:solidFill>
                <a:latin typeface="Century Gothic" panose="020B0502020202020204" pitchFamily="34" charset="0"/>
              </a:rPr>
              <a:t>COMPARAÇÃO</a:t>
            </a:r>
          </a:p>
        </xdr:txBody>
      </xdr:sp>
      <xdr:pic>
        <xdr:nvPicPr>
          <xdr:cNvPr id="28" name="Gráfico 27" descr="Diagrama de Venn com preenchimento sólido">
            <a:extLst>
              <a:ext uri="{FF2B5EF4-FFF2-40B4-BE49-F238E27FC236}">
                <a16:creationId xmlns:a16="http://schemas.microsoft.com/office/drawing/2014/main" id="{E4FAB7AA-DB9B-C674-D1A2-23DA9ACE5DE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>
            <a:extLst>
              <a:ext uri="{96DAC541-7B7A-43D3-8B79-37D633B846F1}">
                <asvg:svgBlip xmlns:asvg="http://schemas.microsoft.com/office/drawing/2016/SVG/main" r:embed="rId19"/>
              </a:ext>
            </a:extLst>
          </a:blip>
          <a:stretch>
            <a:fillRect/>
          </a:stretch>
        </xdr:blipFill>
        <xdr:spPr>
          <a:xfrm>
            <a:off x="10134600" y="38100"/>
            <a:ext cx="409575" cy="409575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161926</xdr:colOff>
      <xdr:row>0</xdr:row>
      <xdr:rowOff>496127</xdr:rowOff>
    </xdr:from>
    <xdr:to>
      <xdr:col>4</xdr:col>
      <xdr:colOff>571502</xdr:colOff>
      <xdr:row>1</xdr:row>
      <xdr:rowOff>827</xdr:rowOff>
    </xdr:to>
    <xdr:sp macro="" textlink="">
      <xdr:nvSpPr>
        <xdr:cNvPr id="29" name="CaixaDeTexto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EA1A9FF-0FAF-405E-A43E-613C12E84F26}"/>
            </a:ext>
          </a:extLst>
        </xdr:cNvPr>
        <xdr:cNvSpPr txBox="1"/>
      </xdr:nvSpPr>
      <xdr:spPr>
        <a:xfrm>
          <a:off x="1990726" y="191327"/>
          <a:ext cx="1019176" cy="0"/>
        </a:xfrm>
        <a:prstGeom prst="rect">
          <a:avLst/>
        </a:prstGeom>
        <a:solidFill>
          <a:srgbClr val="1C2B6E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pt-BR" sz="800">
            <a:solidFill>
              <a:schemeClr val="bg1"/>
            </a:solidFill>
            <a:latin typeface="Century Gothic" panose="020B0502020202020204" pitchFamily="34" charset="0"/>
          </a:endParaRPr>
        </a:p>
        <a:p>
          <a:pPr algn="ctr"/>
          <a:r>
            <a:rPr lang="pt-BR" sz="800">
              <a:solidFill>
                <a:schemeClr val="bg1"/>
              </a:solidFill>
              <a:latin typeface="Century Gothic" panose="020B0502020202020204" pitchFamily="34" charset="0"/>
            </a:rPr>
            <a:t>SIMULADOR</a:t>
          </a:r>
        </a:p>
      </xdr:txBody>
    </xdr:sp>
    <xdr:clientData/>
  </xdr:twoCellAnchor>
  <xdr:twoCellAnchor>
    <xdr:from>
      <xdr:col>3</xdr:col>
      <xdr:colOff>428625</xdr:colOff>
      <xdr:row>0</xdr:row>
      <xdr:rowOff>47624</xdr:rowOff>
    </xdr:from>
    <xdr:to>
      <xdr:col>4</xdr:col>
      <xdr:colOff>285750</xdr:colOff>
      <xdr:row>0</xdr:row>
      <xdr:rowOff>504202</xdr:rowOff>
    </xdr:to>
    <xdr:pic>
      <xdr:nvPicPr>
        <xdr:cNvPr id="30" name="Imagem 2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01FC62B-4E4C-4AD4-9396-0EFDB56F6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duotone>
            <a:schemeClr val="accent1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saturation sat="4000"/>
                  </a14:imgEffect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47624"/>
          <a:ext cx="466725" cy="142253"/>
        </a:xfrm>
        <a:prstGeom prst="rect">
          <a:avLst/>
        </a:prstGeom>
      </xdr:spPr>
    </xdr:pic>
    <xdr:clientData/>
  </xdr:twoCellAnchor>
  <xdr:twoCellAnchor>
    <xdr:from>
      <xdr:col>0</xdr:col>
      <xdr:colOff>571500</xdr:colOff>
      <xdr:row>20</xdr:row>
      <xdr:rowOff>4761</xdr:rowOff>
    </xdr:from>
    <xdr:to>
      <xdr:col>17</xdr:col>
      <xdr:colOff>590550</xdr:colOff>
      <xdr:row>45</xdr:row>
      <xdr:rowOff>38100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A6106B71-18C4-4EC6-BFDC-8C6CEA959D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absoluteAnchor>
    <xdr:pos x="9520789" y="866073"/>
    <xdr:ext cx="1409900" cy="477453"/>
    <xdr:grpSp>
      <xdr:nvGrpSpPr>
        <xdr:cNvPr id="32" name="Agrupar 31">
          <a:extLst>
            <a:ext uri="{FF2B5EF4-FFF2-40B4-BE49-F238E27FC236}">
              <a16:creationId xmlns:a16="http://schemas.microsoft.com/office/drawing/2014/main" id="{2227ADEB-99D9-42BA-8F55-46AE08BAECCF}"/>
            </a:ext>
          </a:extLst>
        </xdr:cNvPr>
        <xdr:cNvGrpSpPr/>
      </xdr:nvGrpSpPr>
      <xdr:grpSpPr>
        <a:xfrm>
          <a:off x="9520789" y="866073"/>
          <a:ext cx="1409900" cy="477453"/>
          <a:chOff x="8534400" y="866775"/>
          <a:chExt cx="1400175" cy="476250"/>
        </a:xfrm>
      </xdr:grpSpPr>
      <xdr:pic>
        <xdr:nvPicPr>
          <xdr:cNvPr id="33" name="Gráfico 32" descr="Início estrutura de tópicos">
            <a:extLst>
              <a:ext uri="{FF2B5EF4-FFF2-40B4-BE49-F238E27FC236}">
                <a16:creationId xmlns:a16="http://schemas.microsoft.com/office/drawing/2014/main" id="{55F04F59-FFA1-958F-A591-68A25E64EB3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4">
            <a:extLst>
              <a:ext uri="{96DAC541-7B7A-43D3-8B79-37D633B846F1}">
                <asvg:svgBlip xmlns:asvg="http://schemas.microsoft.com/office/drawing/2016/SVG/main" r:embed="rId25"/>
              </a:ext>
            </a:extLst>
          </a:blip>
          <a:stretch>
            <a:fillRect/>
          </a:stretch>
        </xdr:blipFill>
        <xdr:spPr>
          <a:xfrm>
            <a:off x="8534400" y="866775"/>
            <a:ext cx="476250" cy="476250"/>
          </a:xfrm>
          <a:prstGeom prst="rect">
            <a:avLst/>
          </a:prstGeom>
        </xdr:spPr>
      </xdr:pic>
      <xdr:pic>
        <xdr:nvPicPr>
          <xdr:cNvPr id="34" name="Gráfico 33" descr="Dólar com preenchimento sólido">
            <a:extLst>
              <a:ext uri="{FF2B5EF4-FFF2-40B4-BE49-F238E27FC236}">
                <a16:creationId xmlns:a16="http://schemas.microsoft.com/office/drawing/2014/main" id="{7EC62373-9B9D-22A8-F881-50ECB7B01F6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6">
            <a:extLst>
              <a:ext uri="{96DAC541-7B7A-43D3-8B79-37D633B846F1}">
                <asvg:svgBlip xmlns:asvg="http://schemas.microsoft.com/office/drawing/2016/SVG/main" r:embed="rId27"/>
              </a:ext>
            </a:extLst>
          </a:blip>
          <a:stretch>
            <a:fillRect/>
          </a:stretch>
        </xdr:blipFill>
        <xdr:spPr>
          <a:xfrm>
            <a:off x="8972550" y="871538"/>
            <a:ext cx="466725" cy="466725"/>
          </a:xfrm>
          <a:prstGeom prst="rect">
            <a:avLst/>
          </a:prstGeom>
        </xdr:spPr>
      </xdr:pic>
      <xdr:pic>
        <xdr:nvPicPr>
          <xdr:cNvPr id="35" name="Gráfico 34" descr="Carro estrutura de tópicos">
            <a:extLst>
              <a:ext uri="{FF2B5EF4-FFF2-40B4-BE49-F238E27FC236}">
                <a16:creationId xmlns:a16="http://schemas.microsoft.com/office/drawing/2014/main" id="{815AB0BA-8806-EEDD-D19B-E7E42E3E125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8">
            <a:extLst>
              <a:ext uri="{96DAC541-7B7A-43D3-8B79-37D633B846F1}">
                <asvg:svgBlip xmlns:asvg="http://schemas.microsoft.com/office/drawing/2016/SVG/main" r:embed="rId29"/>
              </a:ext>
            </a:extLst>
          </a:blip>
          <a:stretch>
            <a:fillRect/>
          </a:stretch>
        </xdr:blipFill>
        <xdr:spPr>
          <a:xfrm>
            <a:off x="9467850" y="871538"/>
            <a:ext cx="466725" cy="466725"/>
          </a:xfrm>
          <a:prstGeom prst="rect">
            <a:avLst/>
          </a:prstGeom>
        </xdr:spPr>
      </xdr:pic>
    </xdr:grpSp>
    <xdr:clientData/>
  </xdr:absoluteAnchor>
  <xdr:twoCellAnchor>
    <xdr:from>
      <xdr:col>6</xdr:col>
      <xdr:colOff>128587</xdr:colOff>
      <xdr:row>16</xdr:row>
      <xdr:rowOff>47625</xdr:rowOff>
    </xdr:from>
    <xdr:to>
      <xdr:col>6</xdr:col>
      <xdr:colOff>490537</xdr:colOff>
      <xdr:row>16</xdr:row>
      <xdr:rowOff>171450</xdr:rowOff>
    </xdr:to>
    <xdr:sp macro="" textlink="">
      <xdr:nvSpPr>
        <xdr:cNvPr id="36" name="Seta: para a Direita 35">
          <a:extLst>
            <a:ext uri="{FF2B5EF4-FFF2-40B4-BE49-F238E27FC236}">
              <a16:creationId xmlns:a16="http://schemas.microsoft.com/office/drawing/2014/main" id="{538BD5CE-2E01-4CDF-9E6E-DFCB155E9428}"/>
            </a:ext>
          </a:extLst>
        </xdr:cNvPr>
        <xdr:cNvSpPr/>
      </xdr:nvSpPr>
      <xdr:spPr>
        <a:xfrm>
          <a:off x="3786187" y="3095625"/>
          <a:ext cx="36195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128587</xdr:colOff>
      <xdr:row>17</xdr:row>
      <xdr:rowOff>47625</xdr:rowOff>
    </xdr:from>
    <xdr:to>
      <xdr:col>6</xdr:col>
      <xdr:colOff>490537</xdr:colOff>
      <xdr:row>17</xdr:row>
      <xdr:rowOff>171450</xdr:rowOff>
    </xdr:to>
    <xdr:sp macro="" textlink="">
      <xdr:nvSpPr>
        <xdr:cNvPr id="37" name="Seta: para a Direita 36">
          <a:extLst>
            <a:ext uri="{FF2B5EF4-FFF2-40B4-BE49-F238E27FC236}">
              <a16:creationId xmlns:a16="http://schemas.microsoft.com/office/drawing/2014/main" id="{A9E8CB59-44B8-448F-BFD9-B73E79E9FB3F}"/>
            </a:ext>
          </a:extLst>
        </xdr:cNvPr>
        <xdr:cNvSpPr/>
      </xdr:nvSpPr>
      <xdr:spPr>
        <a:xfrm>
          <a:off x="3786187" y="3286125"/>
          <a:ext cx="36195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128587</xdr:colOff>
      <xdr:row>18</xdr:row>
      <xdr:rowOff>47625</xdr:rowOff>
    </xdr:from>
    <xdr:to>
      <xdr:col>6</xdr:col>
      <xdr:colOff>490537</xdr:colOff>
      <xdr:row>18</xdr:row>
      <xdr:rowOff>171450</xdr:rowOff>
    </xdr:to>
    <xdr:sp macro="" textlink="">
      <xdr:nvSpPr>
        <xdr:cNvPr id="38" name="Seta: para a Direita 37">
          <a:extLst>
            <a:ext uri="{FF2B5EF4-FFF2-40B4-BE49-F238E27FC236}">
              <a16:creationId xmlns:a16="http://schemas.microsoft.com/office/drawing/2014/main" id="{A8D7DC94-F311-478F-AFC7-660FEE3AC4D9}"/>
            </a:ext>
          </a:extLst>
        </xdr:cNvPr>
        <xdr:cNvSpPr/>
      </xdr:nvSpPr>
      <xdr:spPr>
        <a:xfrm>
          <a:off x="3786187" y="3476625"/>
          <a:ext cx="36195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absoluteAnchor>
    <xdr:pos x="1869106" y="934653"/>
    <xdr:ext cx="2177716" cy="342900"/>
    <xdr:sp macro="" textlink="">
      <xdr:nvSpPr>
        <xdr:cNvPr id="39" name="Retângulo: Cantos Arredondados 38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E4FA07EC-BF91-4C34-A792-2DDB3E8188C8}"/>
            </a:ext>
          </a:extLst>
        </xdr:cNvPr>
        <xdr:cNvSpPr>
          <a:spLocks noChangeAspect="1"/>
        </xdr:cNvSpPr>
      </xdr:nvSpPr>
      <xdr:spPr>
        <a:xfrm>
          <a:off x="1869106" y="934653"/>
          <a:ext cx="2177716" cy="342900"/>
        </a:xfrm>
        <a:prstGeom prst="roundRect">
          <a:avLst/>
        </a:prstGeom>
        <a:solidFill>
          <a:srgbClr val="002060"/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/>
              </a:solidFill>
              <a:latin typeface="Century Gothic" panose="020B0502020202020204" pitchFamily="34" charset="0"/>
            </a:rPr>
            <a:t>Imobiliário</a:t>
          </a:r>
        </a:p>
      </xdr:txBody>
    </xdr:sp>
    <xdr:clientData/>
  </xdr:absoluteAnchor>
  <xdr:absoluteAnchor>
    <xdr:pos x="4353627" y="934653"/>
    <xdr:ext cx="2177716" cy="342900"/>
    <xdr:sp macro="" textlink="">
      <xdr:nvSpPr>
        <xdr:cNvPr id="40" name="Retângulo: Cantos Arredondados 39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BC459A94-9941-4DEC-AC05-7B6AFD16D732}"/>
            </a:ext>
          </a:extLst>
        </xdr:cNvPr>
        <xdr:cNvSpPr>
          <a:spLocks noChangeAspect="1"/>
        </xdr:cNvSpPr>
      </xdr:nvSpPr>
      <xdr:spPr>
        <a:xfrm>
          <a:off x="4353627" y="934653"/>
          <a:ext cx="2177716" cy="34290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Veículo</a:t>
          </a:r>
        </a:p>
      </xdr:txBody>
    </xdr:sp>
    <xdr:clientData/>
  </xdr:absoluteAnchor>
  <xdr:absoluteAnchor>
    <xdr:pos x="6835539" y="931946"/>
    <xdr:ext cx="2177716" cy="342900"/>
    <xdr:sp macro="" textlink="">
      <xdr:nvSpPr>
        <xdr:cNvPr id="41" name="Retângulo: Cantos Arredondados 40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6AD8D0EC-2577-4060-80F0-55EAEF90CC42}"/>
            </a:ext>
          </a:extLst>
        </xdr:cNvPr>
        <xdr:cNvSpPr>
          <a:spLocks noChangeAspect="1"/>
        </xdr:cNvSpPr>
      </xdr:nvSpPr>
      <xdr:spPr>
        <a:xfrm>
          <a:off x="6835539" y="931946"/>
          <a:ext cx="2177716" cy="342900"/>
        </a:xfrm>
        <a:prstGeom prst="roundRect">
          <a:avLst/>
        </a:prstGeom>
        <a:solidFill>
          <a:schemeClr val="bg1">
            <a:lumMod val="85000"/>
          </a:schemeClr>
        </a:solidFill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0">
              <a:solidFill>
                <a:schemeClr val="bg1">
                  <a:lumMod val="50000"/>
                </a:schemeClr>
              </a:solidFill>
              <a:latin typeface="Century Gothic" panose="020B0502020202020204" pitchFamily="34" charset="0"/>
            </a:rPr>
            <a:t>Pesados</a:t>
          </a:r>
        </a:p>
      </xdr:txBody>
    </xdr:sp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sev\OneDrive\Desktop\CALCULADORA%20DE%20CONS&#211;RCIO%2026.01.xlsx" TargetMode="External"/><Relationship Id="rId1" Type="http://schemas.openxmlformats.org/officeDocument/2006/relationships/externalLinkPath" Target="CALCULADORA%20DE%20CONS&#211;RCIO%2026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IMULADOR"/>
      <sheetName val="SIMULADOR (2)"/>
      <sheetName val="SIMULADOR (3)"/>
      <sheetName val="SIMULADOR (4)"/>
      <sheetName val="CONSORCIO X FINANCIAMENTO"/>
      <sheetName val="CONSORCIO X A VISTA"/>
      <sheetName val="OPERACOES ESTRUTURADAS"/>
      <sheetName val="CONSORCIO COMO INVESTIMENTO"/>
      <sheetName val="ESTUDO DE LANCES"/>
      <sheetName val="ESTUDO DE LANCES Auto"/>
      <sheetName val="ESTUDO DE LANCES Pesados"/>
      <sheetName val="GRAFICO DE COMPARACAO"/>
      <sheetName val="Taxas"/>
      <sheetName val="Grupos Imobiliario"/>
      <sheetName val="Grupos Veículo"/>
      <sheetName val="Grupo Pesados"/>
      <sheetName val="Consórcio 3"/>
      <sheetName val="Teste"/>
      <sheetName val="PRICE"/>
      <sheetName val="SA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B1" t="str">
            <v>Informação do Grupo</v>
          </cell>
          <cell r="K1" t="str">
            <v>% Lances Ofertados</v>
          </cell>
          <cell r="N1" t="str">
            <v>Cotas Contempladas do Grupo</v>
          </cell>
        </row>
        <row r="2">
          <cell r="B2" t="str">
            <v>Grupo</v>
          </cell>
          <cell r="C2" t="str">
            <v>Lance Embutido</v>
          </cell>
          <cell r="D2" t="str">
            <v>Faixa de Crédito (R$)</v>
          </cell>
          <cell r="E2" t="str">
            <v>Número de Participantes</v>
          </cell>
          <cell r="F2" t="str">
            <v>Prazo Total</v>
          </cell>
          <cell r="G2" t="str">
            <v>Prazo Remanescente</v>
          </cell>
          <cell r="H2" t="str">
            <v>Data 1º Assembleia</v>
          </cell>
          <cell r="I2" t="str">
            <v>Data Prevista Próxima Assembleia</v>
          </cell>
          <cell r="J2" t="str">
            <v>Venc. Parcela</v>
          </cell>
          <cell r="K2" t="str">
            <v>Lance Médio 3 Últimas Assembleias</v>
          </cell>
          <cell r="L2" t="str">
            <v>Lance Mínimo Contemplado Última Assembleia</v>
          </cell>
          <cell r="M2" t="str">
            <v>Lance Máximo Contemplado Última Assembleia</v>
          </cell>
          <cell r="N2" t="str">
            <v>Sorteio</v>
          </cell>
          <cell r="O2" t="str">
            <v>Cancelada</v>
          </cell>
          <cell r="P2" t="str">
            <v>Lance Fixo</v>
          </cell>
          <cell r="Q2" t="str">
            <v>Lance Livre</v>
          </cell>
          <cell r="R2" t="str">
            <v>Total de Contemplados</v>
          </cell>
          <cell r="S2" t="str">
            <v>Qtde Cota Contemplada por Sorteio Ult.Assemb.</v>
          </cell>
          <cell r="T2" t="str">
            <v>Qtde Cota Contemplada Excluidas Ult.Assemb.</v>
          </cell>
          <cell r="U2" t="str">
            <v>Qtde Cota Contemplada por Lance Livre Ult.Assemb.</v>
          </cell>
          <cell r="V2" t="str">
            <v>Qtde Cota Contemplada por Lance Fixo Ult.Assemb.</v>
          </cell>
          <cell r="W2" t="str">
            <v>Qtde Cota Contemplada Ult.Assemb.</v>
          </cell>
        </row>
        <row r="3">
          <cell r="A3">
            <v>45809</v>
          </cell>
          <cell r="B3">
            <v>10001</v>
          </cell>
          <cell r="C3">
            <v>0</v>
          </cell>
          <cell r="D3" t="str">
            <v>58302.01 A 104943.63</v>
          </cell>
          <cell r="E3">
            <v>1000</v>
          </cell>
          <cell r="F3">
            <v>200</v>
          </cell>
          <cell r="G3">
            <v>156</v>
          </cell>
          <cell r="H3">
            <v>44522</v>
          </cell>
          <cell r="I3">
            <v>45854</v>
          </cell>
          <cell r="J3">
            <v>45848</v>
          </cell>
          <cell r="K3" t="str">
            <v>72.97%</v>
          </cell>
          <cell r="L3" t="str">
            <v>70.51%</v>
          </cell>
          <cell r="M3" t="str">
            <v>76.20%</v>
          </cell>
          <cell r="N3">
            <v>43</v>
          </cell>
          <cell r="O3">
            <v>76</v>
          </cell>
          <cell r="P3">
            <v>30</v>
          </cell>
          <cell r="Q3">
            <v>100</v>
          </cell>
          <cell r="R3">
            <v>249</v>
          </cell>
          <cell r="S3">
            <v>1</v>
          </cell>
          <cell r="T3">
            <v>1</v>
          </cell>
          <cell r="U3">
            <v>6</v>
          </cell>
          <cell r="V3">
            <v>1</v>
          </cell>
          <cell r="W3">
            <v>9</v>
          </cell>
        </row>
        <row r="4">
          <cell r="A4">
            <v>45809</v>
          </cell>
          <cell r="B4">
            <v>10002</v>
          </cell>
          <cell r="C4">
            <v>0</v>
          </cell>
          <cell r="D4" t="str">
            <v>114331.18 A 228662.37</v>
          </cell>
          <cell r="E4">
            <v>1000</v>
          </cell>
          <cell r="F4">
            <v>200</v>
          </cell>
          <cell r="G4">
            <v>160</v>
          </cell>
          <cell r="H4">
            <v>44641</v>
          </cell>
          <cell r="I4">
            <v>45854</v>
          </cell>
          <cell r="J4">
            <v>45848</v>
          </cell>
          <cell r="K4" t="str">
            <v>62.28%</v>
          </cell>
          <cell r="L4" t="str">
            <v>63.00%</v>
          </cell>
          <cell r="M4" t="str">
            <v>67.91%</v>
          </cell>
          <cell r="N4">
            <v>39</v>
          </cell>
          <cell r="O4">
            <v>56</v>
          </cell>
          <cell r="P4">
            <v>34</v>
          </cell>
          <cell r="Q4">
            <v>118</v>
          </cell>
          <cell r="R4">
            <v>247</v>
          </cell>
          <cell r="S4">
            <v>1</v>
          </cell>
          <cell r="T4">
            <v>1</v>
          </cell>
          <cell r="U4">
            <v>6</v>
          </cell>
          <cell r="V4">
            <v>1</v>
          </cell>
          <cell r="W4">
            <v>9</v>
          </cell>
        </row>
        <row r="5">
          <cell r="A5">
            <v>45809</v>
          </cell>
          <cell r="B5">
            <v>10003</v>
          </cell>
          <cell r="C5">
            <v>0</v>
          </cell>
          <cell r="D5" t="str">
            <v>251528.60 A 457324.74</v>
          </cell>
          <cell r="E5">
            <v>1000</v>
          </cell>
          <cell r="F5">
            <v>200</v>
          </cell>
          <cell r="G5">
            <v>160</v>
          </cell>
          <cell r="H5">
            <v>44641</v>
          </cell>
          <cell r="I5">
            <v>45854</v>
          </cell>
          <cell r="J5">
            <v>45848</v>
          </cell>
          <cell r="K5" t="str">
            <v>71.99%</v>
          </cell>
          <cell r="L5" t="str">
            <v>65.20%</v>
          </cell>
          <cell r="M5" t="str">
            <v>75.00%</v>
          </cell>
          <cell r="N5">
            <v>37</v>
          </cell>
          <cell r="O5">
            <v>129</v>
          </cell>
          <cell r="P5">
            <v>28</v>
          </cell>
          <cell r="Q5">
            <v>124</v>
          </cell>
          <cell r="R5">
            <v>318</v>
          </cell>
          <cell r="S5">
            <v>1</v>
          </cell>
          <cell r="T5">
            <v>1</v>
          </cell>
          <cell r="U5">
            <v>9</v>
          </cell>
          <cell r="V5">
            <v>1</v>
          </cell>
          <cell r="W5">
            <v>12</v>
          </cell>
        </row>
        <row r="6">
          <cell r="A6">
            <v>45809</v>
          </cell>
          <cell r="B6">
            <v>10004</v>
          </cell>
          <cell r="C6">
            <v>50</v>
          </cell>
          <cell r="D6" t="str">
            <v>116604.03 A 233208.05</v>
          </cell>
          <cell r="E6">
            <v>1000</v>
          </cell>
          <cell r="F6">
            <v>200</v>
          </cell>
          <cell r="G6">
            <v>156</v>
          </cell>
          <cell r="H6">
            <v>44518</v>
          </cell>
          <cell r="I6">
            <v>45854</v>
          </cell>
          <cell r="J6">
            <v>45848</v>
          </cell>
          <cell r="K6" t="str">
            <v>72.09%</v>
          </cell>
          <cell r="L6" t="str">
            <v>68.56%</v>
          </cell>
          <cell r="M6" t="str">
            <v>75.01%</v>
          </cell>
          <cell r="N6">
            <v>43</v>
          </cell>
          <cell r="O6">
            <v>50</v>
          </cell>
          <cell r="P6">
            <v>37</v>
          </cell>
          <cell r="Q6">
            <v>144</v>
          </cell>
          <cell r="R6">
            <v>274</v>
          </cell>
          <cell r="S6">
            <v>1</v>
          </cell>
          <cell r="T6">
            <v>1</v>
          </cell>
          <cell r="U6">
            <v>6</v>
          </cell>
          <cell r="V6">
            <v>1</v>
          </cell>
          <cell r="W6">
            <v>9</v>
          </cell>
        </row>
        <row r="7">
          <cell r="A7">
            <v>45809</v>
          </cell>
          <cell r="B7">
            <v>10005</v>
          </cell>
          <cell r="C7">
            <v>50</v>
          </cell>
          <cell r="D7" t="str">
            <v>256528.85 A 466416.10</v>
          </cell>
          <cell r="E7">
            <v>1000</v>
          </cell>
          <cell r="F7">
            <v>200</v>
          </cell>
          <cell r="G7">
            <v>156</v>
          </cell>
          <cell r="H7">
            <v>44518</v>
          </cell>
          <cell r="I7">
            <v>45854</v>
          </cell>
          <cell r="J7">
            <v>45848</v>
          </cell>
          <cell r="K7" t="str">
            <v>75.53%</v>
          </cell>
          <cell r="L7" t="str">
            <v>72.00%</v>
          </cell>
          <cell r="M7" t="str">
            <v>78.00%</v>
          </cell>
          <cell r="N7">
            <v>44</v>
          </cell>
          <cell r="O7">
            <v>47</v>
          </cell>
          <cell r="P7">
            <v>37</v>
          </cell>
          <cell r="Q7">
            <v>164</v>
          </cell>
          <cell r="R7">
            <v>292</v>
          </cell>
          <cell r="S7">
            <v>1</v>
          </cell>
          <cell r="T7">
            <v>1</v>
          </cell>
          <cell r="U7">
            <v>8</v>
          </cell>
          <cell r="V7">
            <v>1</v>
          </cell>
          <cell r="W7">
            <v>11</v>
          </cell>
        </row>
        <row r="8">
          <cell r="A8">
            <v>45809</v>
          </cell>
          <cell r="B8">
            <v>10006</v>
          </cell>
          <cell r="C8">
            <v>50</v>
          </cell>
          <cell r="D8" t="str">
            <v>524718.11 A 1049436.22</v>
          </cell>
          <cell r="E8">
            <v>1000</v>
          </cell>
          <cell r="F8">
            <v>200</v>
          </cell>
          <cell r="G8">
            <v>156</v>
          </cell>
          <cell r="H8">
            <v>44518</v>
          </cell>
          <cell r="I8">
            <v>45854</v>
          </cell>
          <cell r="J8">
            <v>45848</v>
          </cell>
          <cell r="K8" t="str">
            <v>74.30%</v>
          </cell>
          <cell r="L8" t="str">
            <v>73.00%</v>
          </cell>
          <cell r="M8" t="str">
            <v>78.00%</v>
          </cell>
          <cell r="N8">
            <v>42</v>
          </cell>
          <cell r="O8">
            <v>56</v>
          </cell>
          <cell r="P8">
            <v>37</v>
          </cell>
          <cell r="Q8">
            <v>200</v>
          </cell>
          <cell r="R8">
            <v>335</v>
          </cell>
          <cell r="S8">
            <v>1</v>
          </cell>
          <cell r="T8">
            <v>1</v>
          </cell>
          <cell r="U8">
            <v>12</v>
          </cell>
          <cell r="V8">
            <v>1</v>
          </cell>
          <cell r="W8">
            <v>15</v>
          </cell>
        </row>
        <row r="9">
          <cell r="A9">
            <v>45809</v>
          </cell>
          <cell r="B9">
            <v>10007</v>
          </cell>
          <cell r="C9">
            <v>50</v>
          </cell>
          <cell r="D9" t="str">
            <v>115097.19 A 230194.37</v>
          </cell>
          <cell r="E9">
            <v>1000</v>
          </cell>
          <cell r="F9">
            <v>200</v>
          </cell>
          <cell r="G9">
            <v>159</v>
          </cell>
          <cell r="H9">
            <v>44613</v>
          </cell>
          <cell r="I9">
            <v>45854</v>
          </cell>
          <cell r="J9">
            <v>45848</v>
          </cell>
          <cell r="K9" t="str">
            <v>71.79%</v>
          </cell>
          <cell r="L9" t="str">
            <v>69.63%</v>
          </cell>
          <cell r="M9" t="str">
            <v>79.50%</v>
          </cell>
          <cell r="N9">
            <v>40</v>
          </cell>
          <cell r="O9">
            <v>107</v>
          </cell>
          <cell r="P9">
            <v>33</v>
          </cell>
          <cell r="Q9">
            <v>158</v>
          </cell>
          <cell r="R9">
            <v>338</v>
          </cell>
          <cell r="S9">
            <v>1</v>
          </cell>
          <cell r="T9">
            <v>1</v>
          </cell>
          <cell r="U9">
            <v>10</v>
          </cell>
          <cell r="V9">
            <v>1</v>
          </cell>
          <cell r="W9">
            <v>13</v>
          </cell>
        </row>
        <row r="10">
          <cell r="A10">
            <v>45809</v>
          </cell>
          <cell r="B10">
            <v>10008</v>
          </cell>
          <cell r="C10">
            <v>50</v>
          </cell>
          <cell r="D10" t="str">
            <v>251528.60 A 457324.74</v>
          </cell>
          <cell r="E10">
            <v>1000</v>
          </cell>
          <cell r="F10">
            <v>200</v>
          </cell>
          <cell r="G10">
            <v>160</v>
          </cell>
          <cell r="H10">
            <v>44641</v>
          </cell>
          <cell r="I10">
            <v>45854</v>
          </cell>
          <cell r="J10">
            <v>45848</v>
          </cell>
          <cell r="K10" t="str">
            <v>73.90%</v>
          </cell>
          <cell r="L10" t="str">
            <v>71.18%</v>
          </cell>
          <cell r="M10" t="str">
            <v>78.92%</v>
          </cell>
          <cell r="N10">
            <v>39</v>
          </cell>
          <cell r="O10">
            <v>85</v>
          </cell>
          <cell r="P10">
            <v>36</v>
          </cell>
          <cell r="Q10">
            <v>148</v>
          </cell>
          <cell r="R10">
            <v>308</v>
          </cell>
          <cell r="S10">
            <v>1</v>
          </cell>
          <cell r="T10">
            <v>1</v>
          </cell>
          <cell r="U10">
            <v>9</v>
          </cell>
          <cell r="V10">
            <v>1</v>
          </cell>
          <cell r="W10">
            <v>12</v>
          </cell>
        </row>
        <row r="11">
          <cell r="A11">
            <v>45809</v>
          </cell>
          <cell r="B11">
            <v>10009</v>
          </cell>
          <cell r="C11">
            <v>50</v>
          </cell>
          <cell r="D11" t="str">
            <v>114331.18 A 228662.37</v>
          </cell>
          <cell r="E11">
            <v>1000</v>
          </cell>
          <cell r="F11">
            <v>200</v>
          </cell>
          <cell r="G11">
            <v>160</v>
          </cell>
          <cell r="H11">
            <v>44641</v>
          </cell>
          <cell r="I11">
            <v>45854</v>
          </cell>
          <cell r="J11">
            <v>45848</v>
          </cell>
          <cell r="K11" t="str">
            <v>74.01%</v>
          </cell>
          <cell r="L11" t="str">
            <v>69.72%</v>
          </cell>
          <cell r="M11" t="str">
            <v>75.00%</v>
          </cell>
          <cell r="N11">
            <v>39</v>
          </cell>
          <cell r="O11">
            <v>77</v>
          </cell>
          <cell r="P11">
            <v>35</v>
          </cell>
          <cell r="Q11">
            <v>132</v>
          </cell>
          <cell r="R11">
            <v>283</v>
          </cell>
          <cell r="S11">
            <v>1</v>
          </cell>
          <cell r="T11">
            <v>1</v>
          </cell>
          <cell r="U11">
            <v>12</v>
          </cell>
          <cell r="V11">
            <v>1</v>
          </cell>
          <cell r="W11">
            <v>15</v>
          </cell>
        </row>
        <row r="12">
          <cell r="A12">
            <v>45809</v>
          </cell>
          <cell r="B12">
            <v>10010</v>
          </cell>
          <cell r="C12">
            <v>50</v>
          </cell>
          <cell r="D12" t="str">
            <v>514490.33 A 1028980.65</v>
          </cell>
          <cell r="E12">
            <v>1000</v>
          </cell>
          <cell r="F12">
            <v>200</v>
          </cell>
          <cell r="G12">
            <v>160</v>
          </cell>
          <cell r="H12">
            <v>44641</v>
          </cell>
          <cell r="I12">
            <v>45854</v>
          </cell>
          <cell r="J12">
            <v>45848</v>
          </cell>
          <cell r="K12" t="str">
            <v>75.57%</v>
          </cell>
          <cell r="L12" t="str">
            <v>75.50%</v>
          </cell>
          <cell r="M12" t="str">
            <v>80.00%</v>
          </cell>
          <cell r="N12">
            <v>40</v>
          </cell>
          <cell r="O12">
            <v>63</v>
          </cell>
          <cell r="P12">
            <v>30</v>
          </cell>
          <cell r="Q12">
            <v>171</v>
          </cell>
          <cell r="R12">
            <v>304</v>
          </cell>
          <cell r="S12">
            <v>1</v>
          </cell>
          <cell r="T12">
            <v>1</v>
          </cell>
          <cell r="U12">
            <v>11</v>
          </cell>
          <cell r="V12">
            <v>1</v>
          </cell>
          <cell r="W12">
            <v>14</v>
          </cell>
        </row>
        <row r="13">
          <cell r="A13">
            <v>45809</v>
          </cell>
          <cell r="B13">
            <v>10011</v>
          </cell>
          <cell r="C13">
            <v>0</v>
          </cell>
          <cell r="D13" t="str">
            <v>57165.59 A 102898.06</v>
          </cell>
          <cell r="E13">
            <v>1000</v>
          </cell>
          <cell r="F13">
            <v>200</v>
          </cell>
          <cell r="G13">
            <v>160</v>
          </cell>
          <cell r="H13">
            <v>44641</v>
          </cell>
          <cell r="I13">
            <v>45854</v>
          </cell>
          <cell r="J13">
            <v>45848</v>
          </cell>
          <cell r="K13" t="str">
            <v>75.48%</v>
          </cell>
          <cell r="L13" t="str">
            <v>70.08%</v>
          </cell>
          <cell r="M13" t="str">
            <v>75.00%</v>
          </cell>
          <cell r="N13">
            <v>38</v>
          </cell>
          <cell r="O13">
            <v>41</v>
          </cell>
          <cell r="P13">
            <v>30</v>
          </cell>
          <cell r="Q13">
            <v>90</v>
          </cell>
          <cell r="R13">
            <v>199</v>
          </cell>
          <cell r="S13">
            <v>1</v>
          </cell>
          <cell r="T13">
            <v>1</v>
          </cell>
          <cell r="U13">
            <v>8</v>
          </cell>
          <cell r="V13">
            <v>1</v>
          </cell>
          <cell r="W13">
            <v>11</v>
          </cell>
        </row>
        <row r="14">
          <cell r="A14">
            <v>45809</v>
          </cell>
          <cell r="B14">
            <v>10012</v>
          </cell>
          <cell r="C14">
            <v>50</v>
          </cell>
          <cell r="D14" t="str">
            <v>248357.94 A 451559.90</v>
          </cell>
          <cell r="E14">
            <v>1000</v>
          </cell>
          <cell r="F14">
            <v>200</v>
          </cell>
          <cell r="G14">
            <v>163</v>
          </cell>
          <cell r="H14">
            <v>44732</v>
          </cell>
          <cell r="I14">
            <v>45854</v>
          </cell>
          <cell r="J14">
            <v>45848</v>
          </cell>
          <cell r="K14" t="str">
            <v>71.96%</v>
          </cell>
          <cell r="L14" t="str">
            <v>70.10%</v>
          </cell>
          <cell r="M14" t="str">
            <v>75.84%</v>
          </cell>
          <cell r="N14">
            <v>36</v>
          </cell>
          <cell r="O14">
            <v>79</v>
          </cell>
          <cell r="P14">
            <v>30</v>
          </cell>
          <cell r="Q14">
            <v>136</v>
          </cell>
          <cell r="R14">
            <v>281</v>
          </cell>
          <cell r="S14">
            <v>1</v>
          </cell>
          <cell r="T14">
            <v>1</v>
          </cell>
          <cell r="U14">
            <v>7</v>
          </cell>
          <cell r="V14">
            <v>1</v>
          </cell>
          <cell r="W14">
            <v>10</v>
          </cell>
        </row>
        <row r="15">
          <cell r="A15">
            <v>45809</v>
          </cell>
          <cell r="B15">
            <v>10013</v>
          </cell>
          <cell r="C15">
            <v>50</v>
          </cell>
          <cell r="D15" t="str">
            <v>508004.88 A 1016009.75</v>
          </cell>
          <cell r="E15">
            <v>1000</v>
          </cell>
          <cell r="F15">
            <v>200</v>
          </cell>
          <cell r="G15">
            <v>163</v>
          </cell>
          <cell r="H15">
            <v>44732</v>
          </cell>
          <cell r="I15">
            <v>45854</v>
          </cell>
          <cell r="J15">
            <v>45848</v>
          </cell>
          <cell r="K15" t="str">
            <v>73.43%</v>
          </cell>
          <cell r="L15" t="str">
            <v>73.00%</v>
          </cell>
          <cell r="M15" t="str">
            <v>75.00%</v>
          </cell>
          <cell r="N15">
            <v>37</v>
          </cell>
          <cell r="O15">
            <v>102</v>
          </cell>
          <cell r="P15">
            <v>29</v>
          </cell>
          <cell r="Q15">
            <v>143</v>
          </cell>
          <cell r="R15">
            <v>311</v>
          </cell>
          <cell r="S15">
            <v>1</v>
          </cell>
          <cell r="T15">
            <v>1</v>
          </cell>
          <cell r="U15">
            <v>7</v>
          </cell>
          <cell r="V15">
            <v>1</v>
          </cell>
          <cell r="W15">
            <v>10</v>
          </cell>
        </row>
        <row r="16">
          <cell r="A16">
            <v>45809</v>
          </cell>
          <cell r="B16">
            <v>10014</v>
          </cell>
          <cell r="C16">
            <v>50</v>
          </cell>
          <cell r="D16" t="str">
            <v>113519.11 A 227038.20</v>
          </cell>
          <cell r="E16">
            <v>1000</v>
          </cell>
          <cell r="F16">
            <v>200</v>
          </cell>
          <cell r="G16">
            <v>162</v>
          </cell>
          <cell r="H16">
            <v>44708</v>
          </cell>
          <cell r="I16">
            <v>45854</v>
          </cell>
          <cell r="J16">
            <v>45848</v>
          </cell>
          <cell r="K16" t="str">
            <v>72.25%</v>
          </cell>
          <cell r="L16" t="str">
            <v>70.59%</v>
          </cell>
          <cell r="M16" t="str">
            <v>75.00%</v>
          </cell>
          <cell r="N16">
            <v>38</v>
          </cell>
          <cell r="O16">
            <v>87</v>
          </cell>
          <cell r="P16">
            <v>32</v>
          </cell>
          <cell r="Q16">
            <v>124</v>
          </cell>
          <cell r="R16">
            <v>281</v>
          </cell>
          <cell r="S16">
            <v>1</v>
          </cell>
          <cell r="T16">
            <v>1</v>
          </cell>
          <cell r="U16">
            <v>11</v>
          </cell>
          <cell r="V16">
            <v>1</v>
          </cell>
          <cell r="W16">
            <v>14</v>
          </cell>
        </row>
        <row r="17">
          <cell r="A17">
            <v>45809</v>
          </cell>
          <cell r="B17">
            <v>10015</v>
          </cell>
          <cell r="C17">
            <v>50</v>
          </cell>
          <cell r="D17" t="str">
            <v>107201.59 A 214403.18</v>
          </cell>
          <cell r="E17">
            <v>1000</v>
          </cell>
          <cell r="F17">
            <v>200</v>
          </cell>
          <cell r="G17">
            <v>164</v>
          </cell>
          <cell r="H17">
            <v>44760</v>
          </cell>
          <cell r="I17">
            <v>45854</v>
          </cell>
          <cell r="J17">
            <v>45848</v>
          </cell>
          <cell r="K17" t="str">
            <v>73.50%</v>
          </cell>
          <cell r="L17" t="str">
            <v>68.22%</v>
          </cell>
          <cell r="M17" t="str">
            <v>74.11%</v>
          </cell>
          <cell r="N17">
            <v>36</v>
          </cell>
          <cell r="O17">
            <v>83</v>
          </cell>
          <cell r="P17">
            <v>30</v>
          </cell>
          <cell r="Q17">
            <v>111</v>
          </cell>
          <cell r="R17">
            <v>260</v>
          </cell>
          <cell r="S17">
            <v>1</v>
          </cell>
          <cell r="T17">
            <v>1</v>
          </cell>
          <cell r="U17">
            <v>8</v>
          </cell>
          <cell r="V17">
            <v>1</v>
          </cell>
          <cell r="W17">
            <v>11</v>
          </cell>
        </row>
        <row r="18">
          <cell r="A18">
            <v>45809</v>
          </cell>
          <cell r="B18">
            <v>10016</v>
          </cell>
          <cell r="C18">
            <v>0</v>
          </cell>
          <cell r="D18" t="str">
            <v>53865.77 A 96958.39</v>
          </cell>
          <cell r="E18">
            <v>1000</v>
          </cell>
          <cell r="F18">
            <v>200</v>
          </cell>
          <cell r="G18">
            <v>166</v>
          </cell>
          <cell r="H18">
            <v>44832</v>
          </cell>
          <cell r="I18">
            <v>45854</v>
          </cell>
          <cell r="J18">
            <v>45848</v>
          </cell>
          <cell r="K18" t="str">
            <v>50.12%</v>
          </cell>
          <cell r="L18" t="str">
            <v>46.00%</v>
          </cell>
          <cell r="M18" t="str">
            <v>50.00%</v>
          </cell>
          <cell r="N18">
            <v>31</v>
          </cell>
          <cell r="O18">
            <v>41</v>
          </cell>
          <cell r="P18">
            <v>24</v>
          </cell>
          <cell r="Q18">
            <v>59</v>
          </cell>
          <cell r="R18">
            <v>155</v>
          </cell>
          <cell r="S18">
            <v>1</v>
          </cell>
          <cell r="T18">
            <v>1</v>
          </cell>
          <cell r="U18">
            <v>4</v>
          </cell>
          <cell r="V18">
            <v>1</v>
          </cell>
          <cell r="W18">
            <v>7</v>
          </cell>
        </row>
        <row r="19">
          <cell r="A19">
            <v>45809</v>
          </cell>
          <cell r="B19">
            <v>10017</v>
          </cell>
          <cell r="C19">
            <v>50</v>
          </cell>
          <cell r="D19" t="str">
            <v>234976.25 A 427229.55</v>
          </cell>
          <cell r="E19">
            <v>1000</v>
          </cell>
          <cell r="F19">
            <v>200</v>
          </cell>
          <cell r="G19">
            <v>165</v>
          </cell>
          <cell r="H19">
            <v>44802</v>
          </cell>
          <cell r="I19">
            <v>45854</v>
          </cell>
          <cell r="J19">
            <v>45848</v>
          </cell>
          <cell r="K19" t="str">
            <v>75.14%</v>
          </cell>
          <cell r="L19" t="str">
            <v>73.41%</v>
          </cell>
          <cell r="M19" t="str">
            <v>75.28%</v>
          </cell>
          <cell r="N19">
            <v>35</v>
          </cell>
          <cell r="O19">
            <v>47</v>
          </cell>
          <cell r="P19">
            <v>29</v>
          </cell>
          <cell r="Q19">
            <v>118</v>
          </cell>
          <cell r="R19">
            <v>229</v>
          </cell>
          <cell r="S19">
            <v>1</v>
          </cell>
          <cell r="T19">
            <v>1</v>
          </cell>
          <cell r="U19">
            <v>8</v>
          </cell>
          <cell r="V19">
            <v>1</v>
          </cell>
          <cell r="W19">
            <v>11</v>
          </cell>
        </row>
        <row r="20">
          <cell r="A20">
            <v>45809</v>
          </cell>
          <cell r="B20">
            <v>10018</v>
          </cell>
          <cell r="C20">
            <v>50</v>
          </cell>
          <cell r="D20" t="str">
            <v>106807.39 A 213614.77</v>
          </cell>
          <cell r="E20">
            <v>1000</v>
          </cell>
          <cell r="F20">
            <v>200</v>
          </cell>
          <cell r="G20">
            <v>165</v>
          </cell>
          <cell r="H20">
            <v>44802</v>
          </cell>
          <cell r="I20">
            <v>45854</v>
          </cell>
          <cell r="J20">
            <v>45848</v>
          </cell>
          <cell r="K20" t="str">
            <v>76.90%</v>
          </cell>
          <cell r="L20" t="str">
            <v>76.00%</v>
          </cell>
          <cell r="M20" t="str">
            <v>82.49%</v>
          </cell>
          <cell r="N20">
            <v>34</v>
          </cell>
          <cell r="O20">
            <v>52</v>
          </cell>
          <cell r="P20">
            <v>30</v>
          </cell>
          <cell r="Q20">
            <v>94</v>
          </cell>
          <cell r="R20">
            <v>210</v>
          </cell>
          <cell r="S20">
            <v>1</v>
          </cell>
          <cell r="T20">
            <v>1</v>
          </cell>
          <cell r="U20">
            <v>6</v>
          </cell>
          <cell r="V20">
            <v>1</v>
          </cell>
          <cell r="W20">
            <v>9</v>
          </cell>
        </row>
        <row r="21">
          <cell r="A21">
            <v>45809</v>
          </cell>
          <cell r="B21">
            <v>10019</v>
          </cell>
          <cell r="C21">
            <v>0</v>
          </cell>
          <cell r="D21" t="str">
            <v>107731.54 A 215463.09</v>
          </cell>
          <cell r="E21">
            <v>1000</v>
          </cell>
          <cell r="F21">
            <v>200</v>
          </cell>
          <cell r="G21">
            <v>166</v>
          </cell>
          <cell r="H21">
            <v>44832</v>
          </cell>
          <cell r="I21">
            <v>45854</v>
          </cell>
          <cell r="J21">
            <v>45848</v>
          </cell>
          <cell r="K21" t="str">
            <v>63.15%</v>
          </cell>
          <cell r="L21" t="str">
            <v>66.00%</v>
          </cell>
          <cell r="M21" t="str">
            <v>66.00%</v>
          </cell>
          <cell r="N21">
            <v>33</v>
          </cell>
          <cell r="O21">
            <v>40</v>
          </cell>
          <cell r="P21">
            <v>24</v>
          </cell>
          <cell r="Q21">
            <v>73</v>
          </cell>
          <cell r="R21">
            <v>170</v>
          </cell>
          <cell r="S21">
            <v>1</v>
          </cell>
          <cell r="T21">
            <v>1</v>
          </cell>
          <cell r="U21">
            <v>4</v>
          </cell>
          <cell r="V21">
            <v>1</v>
          </cell>
          <cell r="W21">
            <v>7</v>
          </cell>
        </row>
        <row r="22">
          <cell r="A22">
            <v>45809</v>
          </cell>
          <cell r="B22">
            <v>10020</v>
          </cell>
          <cell r="C22">
            <v>50</v>
          </cell>
          <cell r="D22" t="str">
            <v>484791.95 A 969583.90</v>
          </cell>
          <cell r="E22">
            <v>1000</v>
          </cell>
          <cell r="F22">
            <v>200</v>
          </cell>
          <cell r="G22">
            <v>166</v>
          </cell>
          <cell r="H22">
            <v>44832</v>
          </cell>
          <cell r="I22">
            <v>45854</v>
          </cell>
          <cell r="J22">
            <v>45848</v>
          </cell>
          <cell r="K22" t="str">
            <v>74.14%</v>
          </cell>
          <cell r="L22" t="str">
            <v>72.69%</v>
          </cell>
          <cell r="M22" t="str">
            <v>78.00%</v>
          </cell>
          <cell r="N22">
            <v>34</v>
          </cell>
          <cell r="O22">
            <v>30</v>
          </cell>
          <cell r="P22">
            <v>28</v>
          </cell>
          <cell r="Q22">
            <v>106</v>
          </cell>
          <cell r="R22">
            <v>198</v>
          </cell>
          <cell r="S22">
            <v>1</v>
          </cell>
          <cell r="T22">
            <v>1</v>
          </cell>
          <cell r="U22">
            <v>11</v>
          </cell>
          <cell r="V22">
            <v>1</v>
          </cell>
          <cell r="W22">
            <v>14</v>
          </cell>
        </row>
        <row r="23">
          <cell r="A23">
            <v>45809</v>
          </cell>
          <cell r="B23">
            <v>10021</v>
          </cell>
          <cell r="C23">
            <v>50</v>
          </cell>
          <cell r="D23" t="str">
            <v>107731.54 A 215463.09</v>
          </cell>
          <cell r="E23">
            <v>2500</v>
          </cell>
          <cell r="F23">
            <v>200</v>
          </cell>
          <cell r="G23">
            <v>166</v>
          </cell>
          <cell r="H23">
            <v>44832</v>
          </cell>
          <cell r="I23">
            <v>45854</v>
          </cell>
          <cell r="J23">
            <v>45848</v>
          </cell>
          <cell r="K23" t="str">
            <v>76.57%</v>
          </cell>
          <cell r="L23" t="str">
            <v>75.02%</v>
          </cell>
          <cell r="M23" t="str">
            <v>80.00%</v>
          </cell>
          <cell r="N23">
            <v>33</v>
          </cell>
          <cell r="O23">
            <v>41</v>
          </cell>
          <cell r="P23">
            <v>31</v>
          </cell>
          <cell r="Q23">
            <v>395</v>
          </cell>
          <cell r="R23">
            <v>500</v>
          </cell>
          <cell r="S23">
            <v>1</v>
          </cell>
          <cell r="T23">
            <v>1</v>
          </cell>
          <cell r="U23">
            <v>27</v>
          </cell>
          <cell r="V23">
            <v>1</v>
          </cell>
          <cell r="W23">
            <v>30</v>
          </cell>
        </row>
        <row r="24">
          <cell r="A24">
            <v>45809</v>
          </cell>
          <cell r="B24">
            <v>10023</v>
          </cell>
          <cell r="C24">
            <v>50</v>
          </cell>
          <cell r="D24" t="str">
            <v>237009.40 A 430926.18</v>
          </cell>
          <cell r="E24">
            <v>2500</v>
          </cell>
          <cell r="F24">
            <v>200</v>
          </cell>
          <cell r="G24">
            <v>166</v>
          </cell>
          <cell r="H24">
            <v>44832</v>
          </cell>
          <cell r="I24">
            <v>45854</v>
          </cell>
          <cell r="J24">
            <v>45848</v>
          </cell>
          <cell r="K24" t="str">
            <v>80.25%</v>
          </cell>
          <cell r="L24" t="str">
            <v>80.01%</v>
          </cell>
          <cell r="M24" t="str">
            <v>83.00%</v>
          </cell>
          <cell r="N24">
            <v>33</v>
          </cell>
          <cell r="O24">
            <v>33</v>
          </cell>
          <cell r="P24">
            <v>32</v>
          </cell>
          <cell r="Q24">
            <v>417</v>
          </cell>
          <cell r="R24">
            <v>515</v>
          </cell>
          <cell r="S24">
            <v>1</v>
          </cell>
          <cell r="T24">
            <v>1</v>
          </cell>
          <cell r="U24">
            <v>29</v>
          </cell>
          <cell r="V24">
            <v>1</v>
          </cell>
          <cell r="W24">
            <v>32</v>
          </cell>
        </row>
        <row r="25">
          <cell r="A25">
            <v>45809</v>
          </cell>
          <cell r="B25">
            <v>10024</v>
          </cell>
          <cell r="C25">
            <v>50</v>
          </cell>
          <cell r="D25" t="str">
            <v>108878.64 A 217757.28</v>
          </cell>
          <cell r="E25">
            <v>2500</v>
          </cell>
          <cell r="F25">
            <v>200</v>
          </cell>
          <cell r="G25">
            <v>170</v>
          </cell>
          <cell r="H25">
            <v>44942</v>
          </cell>
          <cell r="I25">
            <v>45854</v>
          </cell>
          <cell r="J25">
            <v>45848</v>
          </cell>
          <cell r="K25" t="str">
            <v>79.79%</v>
          </cell>
          <cell r="L25" t="str">
            <v>80.00%</v>
          </cell>
          <cell r="M25" t="str">
            <v>85.00%</v>
          </cell>
          <cell r="N25">
            <v>29</v>
          </cell>
          <cell r="O25">
            <v>30</v>
          </cell>
          <cell r="P25">
            <v>28</v>
          </cell>
          <cell r="Q25">
            <v>283</v>
          </cell>
          <cell r="R25">
            <v>370</v>
          </cell>
          <cell r="S25">
            <v>1</v>
          </cell>
          <cell r="T25">
            <v>1</v>
          </cell>
          <cell r="U25">
            <v>28</v>
          </cell>
          <cell r="V25">
            <v>1</v>
          </cell>
          <cell r="W25">
            <v>31</v>
          </cell>
        </row>
        <row r="26">
          <cell r="A26">
            <v>45809</v>
          </cell>
          <cell r="B26">
            <v>10025</v>
          </cell>
          <cell r="C26">
            <v>50</v>
          </cell>
          <cell r="D26" t="str">
            <v>108721.27 A 217442.55</v>
          </cell>
          <cell r="E26">
            <v>2500</v>
          </cell>
          <cell r="F26">
            <v>200</v>
          </cell>
          <cell r="G26">
            <v>175</v>
          </cell>
          <cell r="H26">
            <v>45100</v>
          </cell>
          <cell r="I26">
            <v>45854</v>
          </cell>
          <cell r="J26">
            <v>45848</v>
          </cell>
          <cell r="K26" t="str">
            <v>74.89%</v>
          </cell>
          <cell r="L26" t="str">
            <v>75.17%</v>
          </cell>
          <cell r="M26" t="str">
            <v>78.51%</v>
          </cell>
          <cell r="N26">
            <v>25</v>
          </cell>
          <cell r="O26">
            <v>26</v>
          </cell>
          <cell r="P26">
            <v>25</v>
          </cell>
          <cell r="Q26">
            <v>258</v>
          </cell>
          <cell r="R26">
            <v>334</v>
          </cell>
          <cell r="S26">
            <v>1</v>
          </cell>
          <cell r="T26">
            <v>1</v>
          </cell>
          <cell r="U26">
            <v>31</v>
          </cell>
          <cell r="V26">
            <v>1</v>
          </cell>
          <cell r="W26">
            <v>34</v>
          </cell>
        </row>
        <row r="27">
          <cell r="A27">
            <v>45809</v>
          </cell>
          <cell r="B27">
            <v>10026</v>
          </cell>
          <cell r="C27">
            <v>0</v>
          </cell>
          <cell r="D27" t="str">
            <v>237413.50 A 431660.90</v>
          </cell>
          <cell r="E27">
            <v>2500</v>
          </cell>
          <cell r="F27">
            <v>200</v>
          </cell>
          <cell r="G27">
            <v>167</v>
          </cell>
          <cell r="H27">
            <v>44858</v>
          </cell>
          <cell r="I27">
            <v>45854</v>
          </cell>
          <cell r="J27">
            <v>45848</v>
          </cell>
          <cell r="K27" t="str">
            <v>68.58%</v>
          </cell>
          <cell r="L27" t="str">
            <v>68.16%</v>
          </cell>
          <cell r="M27" t="str">
            <v>83.50%</v>
          </cell>
          <cell r="N27">
            <v>33</v>
          </cell>
          <cell r="O27">
            <v>33</v>
          </cell>
          <cell r="P27">
            <v>26</v>
          </cell>
          <cell r="Q27">
            <v>197</v>
          </cell>
          <cell r="R27">
            <v>289</v>
          </cell>
          <cell r="S27">
            <v>1</v>
          </cell>
          <cell r="T27">
            <v>1</v>
          </cell>
          <cell r="U27">
            <v>16</v>
          </cell>
          <cell r="V27">
            <v>1</v>
          </cell>
          <cell r="W27">
            <v>19</v>
          </cell>
        </row>
        <row r="28">
          <cell r="A28">
            <v>45809</v>
          </cell>
          <cell r="B28">
            <v>10027</v>
          </cell>
          <cell r="C28">
            <v>50</v>
          </cell>
          <cell r="D28" t="str">
            <v>489516.03 A 979032.07</v>
          </cell>
          <cell r="E28">
            <v>2500</v>
          </cell>
          <cell r="F28">
            <v>200</v>
          </cell>
          <cell r="G28">
            <v>168</v>
          </cell>
          <cell r="H28">
            <v>44889</v>
          </cell>
          <cell r="I28">
            <v>45854</v>
          </cell>
          <cell r="J28">
            <v>45848</v>
          </cell>
          <cell r="K28" t="str">
            <v>77.73%</v>
          </cell>
          <cell r="L28" t="str">
            <v>77.00%</v>
          </cell>
          <cell r="M28" t="str">
            <v>80.11%</v>
          </cell>
          <cell r="N28">
            <v>30</v>
          </cell>
          <cell r="O28">
            <v>32</v>
          </cell>
          <cell r="P28">
            <v>30</v>
          </cell>
          <cell r="Q28">
            <v>403</v>
          </cell>
          <cell r="R28">
            <v>495</v>
          </cell>
          <cell r="S28">
            <v>1</v>
          </cell>
          <cell r="T28">
            <v>1</v>
          </cell>
          <cell r="U28">
            <v>29</v>
          </cell>
          <cell r="V28">
            <v>1</v>
          </cell>
          <cell r="W28">
            <v>32</v>
          </cell>
        </row>
        <row r="29">
          <cell r="A29">
            <v>45809</v>
          </cell>
          <cell r="B29">
            <v>10028</v>
          </cell>
          <cell r="C29">
            <v>0</v>
          </cell>
          <cell r="D29" t="str">
            <v>108651.54 A 217303.08</v>
          </cell>
          <cell r="E29">
            <v>2500</v>
          </cell>
          <cell r="F29">
            <v>200</v>
          </cell>
          <cell r="G29">
            <v>171</v>
          </cell>
          <cell r="H29">
            <v>44973</v>
          </cell>
          <cell r="I29">
            <v>45854</v>
          </cell>
          <cell r="J29">
            <v>45848</v>
          </cell>
          <cell r="K29" t="str">
            <v>62.65%</v>
          </cell>
          <cell r="L29" t="str">
            <v>65.03%</v>
          </cell>
          <cell r="M29" t="str">
            <v>85.50%</v>
          </cell>
          <cell r="N29">
            <v>25</v>
          </cell>
          <cell r="O29">
            <v>31</v>
          </cell>
          <cell r="P29">
            <v>26</v>
          </cell>
          <cell r="Q29">
            <v>207</v>
          </cell>
          <cell r="R29">
            <v>289</v>
          </cell>
          <cell r="S29">
            <v>1</v>
          </cell>
          <cell r="T29">
            <v>1</v>
          </cell>
          <cell r="U29">
            <v>15</v>
          </cell>
          <cell r="V29">
            <v>1</v>
          </cell>
          <cell r="W29">
            <v>18</v>
          </cell>
        </row>
        <row r="30">
          <cell r="A30">
            <v>45809</v>
          </cell>
          <cell r="B30">
            <v>10029</v>
          </cell>
          <cell r="C30">
            <v>0</v>
          </cell>
          <cell r="D30" t="str">
            <v>54458.06 A 98024.52</v>
          </cell>
          <cell r="E30">
            <v>2500</v>
          </cell>
          <cell r="F30">
            <v>200</v>
          </cell>
          <cell r="G30">
            <v>173</v>
          </cell>
          <cell r="H30">
            <v>45034</v>
          </cell>
          <cell r="I30">
            <v>45854</v>
          </cell>
          <cell r="J30">
            <v>45848</v>
          </cell>
          <cell r="K30" t="str">
            <v>69.24%</v>
          </cell>
          <cell r="L30" t="str">
            <v>63.20%</v>
          </cell>
          <cell r="M30" t="str">
            <v>75.00%</v>
          </cell>
          <cell r="N30">
            <v>24</v>
          </cell>
          <cell r="O30">
            <v>27</v>
          </cell>
          <cell r="P30">
            <v>19</v>
          </cell>
          <cell r="Q30">
            <v>115</v>
          </cell>
          <cell r="R30">
            <v>185</v>
          </cell>
          <cell r="S30">
            <v>1</v>
          </cell>
          <cell r="T30">
            <v>1</v>
          </cell>
          <cell r="U30">
            <v>14</v>
          </cell>
          <cell r="V30">
            <v>1</v>
          </cell>
          <cell r="W30">
            <v>17</v>
          </cell>
        </row>
        <row r="31">
          <cell r="A31">
            <v>45809</v>
          </cell>
          <cell r="B31">
            <v>10030</v>
          </cell>
          <cell r="C31">
            <v>50</v>
          </cell>
          <cell r="D31" t="str">
            <v>239186.80 A 434885.09</v>
          </cell>
          <cell r="E31">
            <v>2500</v>
          </cell>
          <cell r="F31">
            <v>200</v>
          </cell>
          <cell r="G31">
            <v>175</v>
          </cell>
          <cell r="H31">
            <v>45100</v>
          </cell>
          <cell r="I31">
            <v>45854</v>
          </cell>
          <cell r="J31">
            <v>45848</v>
          </cell>
          <cell r="K31" t="str">
            <v>78.46%</v>
          </cell>
          <cell r="L31" t="str">
            <v>79.20%</v>
          </cell>
          <cell r="M31" t="str">
            <v>81.05%</v>
          </cell>
          <cell r="N31">
            <v>25</v>
          </cell>
          <cell r="O31">
            <v>25</v>
          </cell>
          <cell r="P31">
            <v>24</v>
          </cell>
          <cell r="Q31">
            <v>239</v>
          </cell>
          <cell r="R31">
            <v>313</v>
          </cell>
          <cell r="S31">
            <v>1</v>
          </cell>
          <cell r="T31">
            <v>1</v>
          </cell>
          <cell r="U31">
            <v>18</v>
          </cell>
          <cell r="V31">
            <v>1</v>
          </cell>
          <cell r="W31">
            <v>21</v>
          </cell>
        </row>
        <row r="32">
          <cell r="A32">
            <v>45809</v>
          </cell>
          <cell r="B32">
            <v>10031</v>
          </cell>
          <cell r="C32">
            <v>50</v>
          </cell>
          <cell r="D32" t="str">
            <v>465010.20 A 930020.40</v>
          </cell>
          <cell r="E32">
            <v>2500</v>
          </cell>
          <cell r="F32">
            <v>200</v>
          </cell>
          <cell r="G32">
            <v>176</v>
          </cell>
          <cell r="H32">
            <v>45125</v>
          </cell>
          <cell r="I32">
            <v>45854</v>
          </cell>
          <cell r="J32">
            <v>45848</v>
          </cell>
          <cell r="K32" t="str">
            <v>77.46%</v>
          </cell>
          <cell r="L32" t="str">
            <v>78.30%</v>
          </cell>
          <cell r="M32" t="str">
            <v>85.00%</v>
          </cell>
          <cell r="N32">
            <v>24</v>
          </cell>
          <cell r="O32">
            <v>23</v>
          </cell>
          <cell r="P32">
            <v>23</v>
          </cell>
          <cell r="Q32">
            <v>267</v>
          </cell>
          <cell r="R32">
            <v>337</v>
          </cell>
          <cell r="S32">
            <v>1</v>
          </cell>
          <cell r="T32">
            <v>1</v>
          </cell>
          <cell r="U32">
            <v>18</v>
          </cell>
          <cell r="V32">
            <v>1</v>
          </cell>
          <cell r="W32">
            <v>21</v>
          </cell>
        </row>
        <row r="33">
          <cell r="A33">
            <v>45809</v>
          </cell>
          <cell r="B33">
            <v>10032</v>
          </cell>
          <cell r="C33">
            <v>0</v>
          </cell>
          <cell r="D33" t="str">
            <v>52030.45 A 93654.81</v>
          </cell>
          <cell r="E33">
            <v>2500</v>
          </cell>
          <cell r="F33">
            <v>240</v>
          </cell>
          <cell r="G33">
            <v>218</v>
          </cell>
          <cell r="H33">
            <v>45197</v>
          </cell>
          <cell r="I33">
            <v>45854</v>
          </cell>
          <cell r="J33">
            <v>45848</v>
          </cell>
          <cell r="K33" t="str">
            <v>59.87%</v>
          </cell>
          <cell r="L33" t="str">
            <v>56.00%</v>
          </cell>
          <cell r="M33" t="str">
            <v>61.32%</v>
          </cell>
          <cell r="N33">
            <v>20</v>
          </cell>
          <cell r="O33">
            <v>24</v>
          </cell>
          <cell r="P33">
            <v>13</v>
          </cell>
          <cell r="Q33">
            <v>64</v>
          </cell>
          <cell r="R33">
            <v>121</v>
          </cell>
          <cell r="S33">
            <v>1</v>
          </cell>
          <cell r="T33">
            <v>1</v>
          </cell>
          <cell r="U33">
            <v>12</v>
          </cell>
          <cell r="V33">
            <v>1</v>
          </cell>
          <cell r="W33">
            <v>15</v>
          </cell>
        </row>
        <row r="34">
          <cell r="A34">
            <v>45809</v>
          </cell>
          <cell r="B34">
            <v>10033</v>
          </cell>
          <cell r="C34">
            <v>0</v>
          </cell>
          <cell r="D34" t="str">
            <v>104060.90 A 208121.80</v>
          </cell>
          <cell r="E34">
            <v>2500</v>
          </cell>
          <cell r="F34">
            <v>240</v>
          </cell>
          <cell r="G34">
            <v>218</v>
          </cell>
          <cell r="H34">
            <v>45188</v>
          </cell>
          <cell r="I34">
            <v>45854</v>
          </cell>
          <cell r="J34">
            <v>45848</v>
          </cell>
          <cell r="K34" t="str">
            <v>62.31%</v>
          </cell>
          <cell r="L34" t="str">
            <v>60.00%</v>
          </cell>
          <cell r="M34" t="str">
            <v>78.93%</v>
          </cell>
          <cell r="N34">
            <v>22</v>
          </cell>
          <cell r="O34">
            <v>22</v>
          </cell>
          <cell r="P34">
            <v>19</v>
          </cell>
          <cell r="Q34">
            <v>95</v>
          </cell>
          <cell r="R34">
            <v>158</v>
          </cell>
          <cell r="S34">
            <v>1</v>
          </cell>
          <cell r="T34">
            <v>1</v>
          </cell>
          <cell r="U34">
            <v>16</v>
          </cell>
          <cell r="V34">
            <v>1</v>
          </cell>
          <cell r="W34">
            <v>19</v>
          </cell>
        </row>
        <row r="35">
          <cell r="A35">
            <v>45809</v>
          </cell>
          <cell r="B35">
            <v>10034</v>
          </cell>
          <cell r="C35">
            <v>50</v>
          </cell>
          <cell r="D35" t="str">
            <v>104060.90 A 208121.80</v>
          </cell>
          <cell r="E35">
            <v>2500</v>
          </cell>
          <cell r="F35">
            <v>200</v>
          </cell>
          <cell r="G35">
            <v>178</v>
          </cell>
          <cell r="H35">
            <v>45188</v>
          </cell>
          <cell r="I35">
            <v>45854</v>
          </cell>
          <cell r="J35">
            <v>45848</v>
          </cell>
          <cell r="K35" t="str">
            <v>78.54%</v>
          </cell>
          <cell r="L35" t="str">
            <v>76.00%</v>
          </cell>
          <cell r="M35" t="str">
            <v>81.00%</v>
          </cell>
          <cell r="N35">
            <v>22</v>
          </cell>
          <cell r="O35">
            <v>22</v>
          </cell>
          <cell r="P35">
            <v>21</v>
          </cell>
          <cell r="Q35">
            <v>193</v>
          </cell>
          <cell r="R35">
            <v>258</v>
          </cell>
          <cell r="S35">
            <v>1</v>
          </cell>
          <cell r="T35">
            <v>1</v>
          </cell>
          <cell r="U35">
            <v>26</v>
          </cell>
          <cell r="V35">
            <v>1</v>
          </cell>
          <cell r="W35">
            <v>29</v>
          </cell>
        </row>
        <row r="36">
          <cell r="A36">
            <v>45809</v>
          </cell>
          <cell r="B36">
            <v>10035</v>
          </cell>
          <cell r="C36">
            <v>50</v>
          </cell>
          <cell r="D36" t="str">
            <v>470702.25 A 941404.50</v>
          </cell>
          <cell r="E36">
            <v>2500</v>
          </cell>
          <cell r="F36">
            <v>200</v>
          </cell>
          <cell r="G36">
            <v>181</v>
          </cell>
          <cell r="H36">
            <v>45286</v>
          </cell>
          <cell r="I36">
            <v>45854</v>
          </cell>
          <cell r="J36">
            <v>45848</v>
          </cell>
          <cell r="K36" t="str">
            <v>80.08%</v>
          </cell>
          <cell r="L36" t="str">
            <v>80.10%</v>
          </cell>
          <cell r="M36" t="str">
            <v>87.00%</v>
          </cell>
          <cell r="N36">
            <v>19</v>
          </cell>
          <cell r="O36">
            <v>17</v>
          </cell>
          <cell r="P36">
            <v>17</v>
          </cell>
          <cell r="Q36">
            <v>150</v>
          </cell>
          <cell r="R36">
            <v>203</v>
          </cell>
          <cell r="S36">
            <v>1</v>
          </cell>
          <cell r="T36">
            <v>0</v>
          </cell>
          <cell r="U36">
            <v>25</v>
          </cell>
          <cell r="V36">
            <v>1</v>
          </cell>
          <cell r="W36">
            <v>27</v>
          </cell>
        </row>
        <row r="37">
          <cell r="A37">
            <v>45809</v>
          </cell>
          <cell r="B37">
            <v>10036</v>
          </cell>
          <cell r="C37">
            <v>50</v>
          </cell>
          <cell r="D37" t="str">
            <v>229183.02 A 416696.40</v>
          </cell>
          <cell r="E37">
            <v>2500</v>
          </cell>
          <cell r="F37">
            <v>200</v>
          </cell>
          <cell r="G37">
            <v>184</v>
          </cell>
          <cell r="H37">
            <v>45369</v>
          </cell>
          <cell r="I37">
            <v>45854</v>
          </cell>
          <cell r="J37">
            <v>45848</v>
          </cell>
          <cell r="K37" t="str">
            <v>74.79%</v>
          </cell>
          <cell r="L37" t="str">
            <v>71.00%</v>
          </cell>
          <cell r="M37" t="str">
            <v>75.69%</v>
          </cell>
          <cell r="N37">
            <v>16</v>
          </cell>
          <cell r="O37">
            <v>17</v>
          </cell>
          <cell r="P37">
            <v>16</v>
          </cell>
          <cell r="Q37">
            <v>90</v>
          </cell>
          <cell r="R37">
            <v>139</v>
          </cell>
          <cell r="S37">
            <v>1</v>
          </cell>
          <cell r="T37">
            <v>1</v>
          </cell>
          <cell r="U37">
            <v>15</v>
          </cell>
          <cell r="V37">
            <v>1</v>
          </cell>
          <cell r="W37">
            <v>18</v>
          </cell>
        </row>
        <row r="38">
          <cell r="A38">
            <v>45809</v>
          </cell>
          <cell r="B38">
            <v>10037</v>
          </cell>
          <cell r="C38">
            <v>50</v>
          </cell>
          <cell r="D38" t="str">
            <v>104866.50 A 209733.00</v>
          </cell>
          <cell r="E38">
            <v>2500</v>
          </cell>
          <cell r="F38">
            <v>200</v>
          </cell>
          <cell r="G38">
            <v>185</v>
          </cell>
          <cell r="H38">
            <v>45398</v>
          </cell>
          <cell r="I38">
            <v>45854</v>
          </cell>
          <cell r="J38">
            <v>45848</v>
          </cell>
          <cell r="K38" t="str">
            <v>77.27%</v>
          </cell>
          <cell r="L38" t="str">
            <v>74.38%</v>
          </cell>
          <cell r="M38" t="str">
            <v>80.00%</v>
          </cell>
          <cell r="N38">
            <v>14</v>
          </cell>
          <cell r="O38">
            <v>16</v>
          </cell>
          <cell r="P38">
            <v>15</v>
          </cell>
          <cell r="Q38">
            <v>100</v>
          </cell>
          <cell r="R38">
            <v>145</v>
          </cell>
          <cell r="S38">
            <v>1</v>
          </cell>
          <cell r="T38">
            <v>1</v>
          </cell>
          <cell r="U38">
            <v>27</v>
          </cell>
          <cell r="V38">
            <v>1</v>
          </cell>
          <cell r="W38">
            <v>30</v>
          </cell>
        </row>
        <row r="39">
          <cell r="A39">
            <v>45809</v>
          </cell>
          <cell r="B39">
            <v>10038</v>
          </cell>
          <cell r="C39">
            <v>0</v>
          </cell>
          <cell r="D39" t="str">
            <v>105316.70 A 210633.40</v>
          </cell>
          <cell r="E39">
            <v>2500</v>
          </cell>
          <cell r="F39">
            <v>200</v>
          </cell>
          <cell r="G39">
            <v>187</v>
          </cell>
          <cell r="H39">
            <v>45460</v>
          </cell>
          <cell r="I39">
            <v>45854</v>
          </cell>
          <cell r="J39">
            <v>45848</v>
          </cell>
          <cell r="K39" t="str">
            <v>87.18%</v>
          </cell>
          <cell r="L39" t="str">
            <v>81.10%</v>
          </cell>
          <cell r="M39" t="str">
            <v>81.20%</v>
          </cell>
          <cell r="N39">
            <v>13</v>
          </cell>
          <cell r="O39">
            <v>13</v>
          </cell>
          <cell r="P39">
            <v>11</v>
          </cell>
          <cell r="Q39">
            <v>22</v>
          </cell>
          <cell r="R39">
            <v>59</v>
          </cell>
          <cell r="S39">
            <v>1</v>
          </cell>
          <cell r="T39">
            <v>1</v>
          </cell>
          <cell r="U39">
            <v>2</v>
          </cell>
          <cell r="V39">
            <v>1</v>
          </cell>
          <cell r="W39">
            <v>5</v>
          </cell>
        </row>
        <row r="40">
          <cell r="A40">
            <v>45809</v>
          </cell>
          <cell r="B40">
            <v>10039</v>
          </cell>
          <cell r="C40">
            <v>50</v>
          </cell>
          <cell r="D40" t="str">
            <v>100000.00 A 200000.00</v>
          </cell>
          <cell r="E40">
            <v>2500</v>
          </cell>
          <cell r="F40">
            <v>200</v>
          </cell>
          <cell r="G40">
            <v>189</v>
          </cell>
          <cell r="H40">
            <v>45525</v>
          </cell>
          <cell r="I40">
            <v>45854</v>
          </cell>
          <cell r="J40">
            <v>45848</v>
          </cell>
          <cell r="K40" t="str">
            <v>76.02%</v>
          </cell>
          <cell r="L40" t="str">
            <v>73.01%</v>
          </cell>
          <cell r="M40" t="str">
            <v>79.00%</v>
          </cell>
          <cell r="N40">
            <v>11</v>
          </cell>
          <cell r="O40">
            <v>11</v>
          </cell>
          <cell r="P40">
            <v>10</v>
          </cell>
          <cell r="Q40">
            <v>68</v>
          </cell>
          <cell r="R40">
            <v>100</v>
          </cell>
          <cell r="S40">
            <v>1</v>
          </cell>
          <cell r="T40">
            <v>1</v>
          </cell>
          <cell r="U40">
            <v>14</v>
          </cell>
          <cell r="V40">
            <v>1</v>
          </cell>
          <cell r="W40">
            <v>17</v>
          </cell>
        </row>
        <row r="41">
          <cell r="A41">
            <v>45809</v>
          </cell>
          <cell r="B41">
            <v>10040</v>
          </cell>
          <cell r="C41">
            <v>50</v>
          </cell>
          <cell r="D41" t="str">
            <v>450000.00 A 900000.00</v>
          </cell>
          <cell r="E41">
            <v>2500</v>
          </cell>
          <cell r="F41">
            <v>200</v>
          </cell>
          <cell r="G41">
            <v>190</v>
          </cell>
          <cell r="H41">
            <v>45551</v>
          </cell>
          <cell r="I41">
            <v>45854</v>
          </cell>
          <cell r="J41">
            <v>45848</v>
          </cell>
          <cell r="K41" t="str">
            <v>82.58%</v>
          </cell>
          <cell r="L41" t="str">
            <v>81.99%</v>
          </cell>
          <cell r="M41" t="str">
            <v>90.00%</v>
          </cell>
          <cell r="N41">
            <v>10</v>
          </cell>
          <cell r="O41">
            <v>10</v>
          </cell>
          <cell r="P41">
            <v>10</v>
          </cell>
          <cell r="Q41">
            <v>34</v>
          </cell>
          <cell r="R41">
            <v>64</v>
          </cell>
          <cell r="S41">
            <v>1</v>
          </cell>
          <cell r="T41">
            <v>1</v>
          </cell>
          <cell r="U41">
            <v>9</v>
          </cell>
          <cell r="V41">
            <v>1</v>
          </cell>
          <cell r="W41">
            <v>12</v>
          </cell>
        </row>
        <row r="42">
          <cell r="A42">
            <v>45809</v>
          </cell>
          <cell r="B42">
            <v>10041</v>
          </cell>
          <cell r="C42">
            <v>50</v>
          </cell>
          <cell r="D42" t="str">
            <v>220000.00 A 400000.00</v>
          </cell>
          <cell r="E42">
            <v>2500</v>
          </cell>
          <cell r="F42">
            <v>200</v>
          </cell>
          <cell r="G42">
            <v>191</v>
          </cell>
          <cell r="H42">
            <v>45581</v>
          </cell>
          <cell r="I42">
            <v>45854</v>
          </cell>
          <cell r="J42">
            <v>45848</v>
          </cell>
          <cell r="K42" t="str">
            <v>85.69%</v>
          </cell>
          <cell r="L42" t="str">
            <v>83.09%</v>
          </cell>
          <cell r="M42" t="str">
            <v>95.50%</v>
          </cell>
          <cell r="N42">
            <v>9</v>
          </cell>
          <cell r="O42">
            <v>8</v>
          </cell>
          <cell r="P42">
            <v>5</v>
          </cell>
          <cell r="Q42">
            <v>13</v>
          </cell>
          <cell r="R42">
            <v>35</v>
          </cell>
          <cell r="S42">
            <v>1</v>
          </cell>
          <cell r="T42">
            <v>1</v>
          </cell>
          <cell r="U42">
            <v>7</v>
          </cell>
          <cell r="V42">
            <v>1</v>
          </cell>
          <cell r="W42">
            <v>10</v>
          </cell>
        </row>
        <row r="43">
          <cell r="A43">
            <v>45809</v>
          </cell>
          <cell r="B43">
            <v>10042</v>
          </cell>
          <cell r="C43">
            <v>0</v>
          </cell>
          <cell r="D43" t="str">
            <v>100000.00 A 200000.00</v>
          </cell>
          <cell r="E43">
            <v>2500</v>
          </cell>
          <cell r="F43">
            <v>240</v>
          </cell>
          <cell r="G43">
            <v>233</v>
          </cell>
          <cell r="H43">
            <v>45642</v>
          </cell>
          <cell r="I43">
            <v>45854</v>
          </cell>
          <cell r="J43">
            <v>45848</v>
          </cell>
          <cell r="K43" t="str">
            <v>70.19%</v>
          </cell>
          <cell r="L43" t="str">
            <v>63.33%</v>
          </cell>
          <cell r="M43" t="str">
            <v>72.00%</v>
          </cell>
          <cell r="N43">
            <v>7</v>
          </cell>
          <cell r="O43">
            <v>7</v>
          </cell>
          <cell r="P43">
            <v>6</v>
          </cell>
          <cell r="Q43">
            <v>41</v>
          </cell>
          <cell r="R43">
            <v>61</v>
          </cell>
          <cell r="S43">
            <v>1</v>
          </cell>
          <cell r="T43">
            <v>1</v>
          </cell>
          <cell r="U43">
            <v>10</v>
          </cell>
          <cell r="V43">
            <v>1</v>
          </cell>
          <cell r="W43">
            <v>13</v>
          </cell>
        </row>
        <row r="44">
          <cell r="A44">
            <v>45809</v>
          </cell>
          <cell r="B44">
            <v>10043</v>
          </cell>
          <cell r="C44">
            <v>0</v>
          </cell>
          <cell r="D44" t="str">
            <v>45000.00 A 90000.00</v>
          </cell>
          <cell r="E44">
            <v>2500</v>
          </cell>
          <cell r="F44">
            <v>200</v>
          </cell>
          <cell r="G44">
            <v>193</v>
          </cell>
          <cell r="H44">
            <v>45642</v>
          </cell>
          <cell r="I44">
            <v>45854</v>
          </cell>
          <cell r="J44">
            <v>45848</v>
          </cell>
          <cell r="K44" t="str">
            <v>65.84%</v>
          </cell>
          <cell r="L44" t="str">
            <v>65.00%</v>
          </cell>
          <cell r="M44" t="str">
            <v>66.94%</v>
          </cell>
          <cell r="N44">
            <v>7</v>
          </cell>
          <cell r="O44">
            <v>6</v>
          </cell>
          <cell r="P44">
            <v>6</v>
          </cell>
          <cell r="Q44">
            <v>17</v>
          </cell>
          <cell r="R44">
            <v>36</v>
          </cell>
          <cell r="S44">
            <v>1</v>
          </cell>
          <cell r="T44">
            <v>1</v>
          </cell>
          <cell r="U44">
            <v>5</v>
          </cell>
          <cell r="V44">
            <v>1</v>
          </cell>
          <cell r="W44">
            <v>8</v>
          </cell>
        </row>
        <row r="45">
          <cell r="A45">
            <v>45809</v>
          </cell>
          <cell r="B45">
            <v>10044</v>
          </cell>
          <cell r="C45">
            <v>0</v>
          </cell>
          <cell r="D45" t="str">
            <v>100000.00 A 200000.00</v>
          </cell>
          <cell r="E45">
            <v>2500</v>
          </cell>
          <cell r="F45">
            <v>200</v>
          </cell>
          <cell r="G45">
            <v>193</v>
          </cell>
          <cell r="H45">
            <v>45642</v>
          </cell>
          <cell r="I45">
            <v>45854</v>
          </cell>
          <cell r="J45">
            <v>45848</v>
          </cell>
          <cell r="K45" t="str">
            <v>80.67%</v>
          </cell>
          <cell r="L45" t="str">
            <v>66.00%</v>
          </cell>
          <cell r="M45" t="str">
            <v>76.00%</v>
          </cell>
          <cell r="N45">
            <v>7</v>
          </cell>
          <cell r="O45">
            <v>5</v>
          </cell>
          <cell r="P45">
            <v>7</v>
          </cell>
          <cell r="Q45">
            <v>13</v>
          </cell>
          <cell r="R45">
            <v>32</v>
          </cell>
          <cell r="S45">
            <v>1</v>
          </cell>
          <cell r="T45">
            <v>1</v>
          </cell>
          <cell r="U45">
            <v>6</v>
          </cell>
          <cell r="V45">
            <v>1</v>
          </cell>
          <cell r="W45">
            <v>9</v>
          </cell>
        </row>
        <row r="46">
          <cell r="A46">
            <v>45809</v>
          </cell>
          <cell r="B46">
            <v>10045</v>
          </cell>
          <cell r="C46">
            <v>0</v>
          </cell>
          <cell r="D46" t="str">
            <v>200000.00 A 400000.00</v>
          </cell>
          <cell r="E46">
            <v>2500</v>
          </cell>
          <cell r="F46">
            <v>200</v>
          </cell>
          <cell r="G46">
            <v>193</v>
          </cell>
          <cell r="H46">
            <v>45642</v>
          </cell>
          <cell r="I46">
            <v>45854</v>
          </cell>
          <cell r="J46">
            <v>45848</v>
          </cell>
          <cell r="K46" t="str">
            <v>78.64%</v>
          </cell>
          <cell r="L46" t="str">
            <v>76.00%</v>
          </cell>
          <cell r="M46" t="str">
            <v>82.00%</v>
          </cell>
          <cell r="N46">
            <v>7</v>
          </cell>
          <cell r="O46">
            <v>6</v>
          </cell>
          <cell r="P46">
            <v>4</v>
          </cell>
          <cell r="Q46">
            <v>7</v>
          </cell>
          <cell r="R46">
            <v>24</v>
          </cell>
          <cell r="S46">
            <v>1</v>
          </cell>
          <cell r="T46">
            <v>1</v>
          </cell>
          <cell r="U46">
            <v>4</v>
          </cell>
          <cell r="V46">
            <v>1</v>
          </cell>
          <cell r="W46">
            <v>7</v>
          </cell>
        </row>
        <row r="47">
          <cell r="A47">
            <v>45809</v>
          </cell>
          <cell r="B47">
            <v>10046</v>
          </cell>
          <cell r="C47">
            <v>50</v>
          </cell>
          <cell r="D47" t="str">
            <v>100000.00 A 200000.00</v>
          </cell>
          <cell r="E47">
            <v>2500</v>
          </cell>
          <cell r="F47">
            <v>200</v>
          </cell>
          <cell r="G47">
            <v>193</v>
          </cell>
          <cell r="H47">
            <v>45642</v>
          </cell>
          <cell r="I47">
            <v>45854</v>
          </cell>
          <cell r="J47">
            <v>45848</v>
          </cell>
          <cell r="K47" t="str">
            <v>77.26%</v>
          </cell>
          <cell r="L47" t="str">
            <v>76.01%</v>
          </cell>
          <cell r="M47" t="str">
            <v>80.20%</v>
          </cell>
          <cell r="N47">
            <v>7</v>
          </cell>
          <cell r="O47">
            <v>7</v>
          </cell>
          <cell r="P47">
            <v>7</v>
          </cell>
          <cell r="Q47">
            <v>41</v>
          </cell>
          <cell r="R47">
            <v>62</v>
          </cell>
          <cell r="S47">
            <v>1</v>
          </cell>
          <cell r="T47">
            <v>1</v>
          </cell>
          <cell r="U47">
            <v>12</v>
          </cell>
          <cell r="V47">
            <v>1</v>
          </cell>
          <cell r="W47">
            <v>15</v>
          </cell>
        </row>
        <row r="48">
          <cell r="A48">
            <v>45809</v>
          </cell>
          <cell r="B48">
            <v>10047</v>
          </cell>
          <cell r="C48">
            <v>50</v>
          </cell>
          <cell r="D48" t="str">
            <v>200000.00 A 400000.00</v>
          </cell>
          <cell r="E48">
            <v>2500</v>
          </cell>
          <cell r="F48">
            <v>200</v>
          </cell>
          <cell r="G48">
            <v>193</v>
          </cell>
          <cell r="H48">
            <v>45642</v>
          </cell>
          <cell r="I48">
            <v>45854</v>
          </cell>
          <cell r="J48">
            <v>45848</v>
          </cell>
          <cell r="K48" t="str">
            <v>80.53%</v>
          </cell>
          <cell r="L48" t="str">
            <v>75.10%</v>
          </cell>
          <cell r="M48" t="str">
            <v>85.00%</v>
          </cell>
          <cell r="N48">
            <v>7</v>
          </cell>
          <cell r="O48">
            <v>6</v>
          </cell>
          <cell r="P48">
            <v>7</v>
          </cell>
          <cell r="Q48">
            <v>38</v>
          </cell>
          <cell r="R48">
            <v>58</v>
          </cell>
          <cell r="S48">
            <v>1</v>
          </cell>
          <cell r="T48">
            <v>1</v>
          </cell>
          <cell r="U48">
            <v>7</v>
          </cell>
          <cell r="V48">
            <v>1</v>
          </cell>
          <cell r="W48">
            <v>10</v>
          </cell>
        </row>
        <row r="49">
          <cell r="A49">
            <v>45809</v>
          </cell>
          <cell r="B49">
            <v>10048</v>
          </cell>
          <cell r="C49">
            <v>50</v>
          </cell>
          <cell r="D49" t="str">
            <v>450000.00 A 900000.00</v>
          </cell>
          <cell r="E49">
            <v>2500</v>
          </cell>
          <cell r="F49">
            <v>200</v>
          </cell>
          <cell r="G49">
            <v>193</v>
          </cell>
          <cell r="H49">
            <v>45642</v>
          </cell>
          <cell r="I49">
            <v>45854</v>
          </cell>
          <cell r="J49">
            <v>45848</v>
          </cell>
          <cell r="K49" t="str">
            <v>83.52%</v>
          </cell>
          <cell r="L49" t="str">
            <v>81.00%</v>
          </cell>
          <cell r="M49" t="str">
            <v>85.00%</v>
          </cell>
          <cell r="N49">
            <v>7</v>
          </cell>
          <cell r="O49">
            <v>7</v>
          </cell>
          <cell r="P49">
            <v>7</v>
          </cell>
          <cell r="Q49">
            <v>49</v>
          </cell>
          <cell r="R49">
            <v>70</v>
          </cell>
          <cell r="S49">
            <v>1</v>
          </cell>
          <cell r="T49">
            <v>1</v>
          </cell>
          <cell r="U49">
            <v>9</v>
          </cell>
          <cell r="V49">
            <v>1</v>
          </cell>
          <cell r="W49">
            <v>12</v>
          </cell>
        </row>
        <row r="50">
          <cell r="A50">
            <v>45809</v>
          </cell>
          <cell r="B50">
            <v>10049</v>
          </cell>
          <cell r="C50">
            <v>50</v>
          </cell>
          <cell r="D50" t="str">
            <v>100000.00 A 200000.00</v>
          </cell>
          <cell r="E50">
            <v>2500</v>
          </cell>
          <cell r="F50">
            <v>200</v>
          </cell>
          <cell r="G50">
            <v>194</v>
          </cell>
          <cell r="H50">
            <v>45673</v>
          </cell>
          <cell r="I50">
            <v>45854</v>
          </cell>
          <cell r="J50">
            <v>45848</v>
          </cell>
          <cell r="K50" t="str">
            <v>73.23%</v>
          </cell>
          <cell r="L50" t="str">
            <v>70.00%</v>
          </cell>
          <cell r="M50" t="str">
            <v>75.00%</v>
          </cell>
          <cell r="N50">
            <v>6</v>
          </cell>
          <cell r="O50">
            <v>4</v>
          </cell>
          <cell r="P50">
            <v>6</v>
          </cell>
          <cell r="Q50">
            <v>35</v>
          </cell>
          <cell r="R50">
            <v>51</v>
          </cell>
          <cell r="S50">
            <v>1</v>
          </cell>
          <cell r="T50">
            <v>1</v>
          </cell>
          <cell r="U50">
            <v>13</v>
          </cell>
          <cell r="V50">
            <v>1</v>
          </cell>
          <cell r="W50">
            <v>16</v>
          </cell>
        </row>
        <row r="51">
          <cell r="A51">
            <v>45809</v>
          </cell>
          <cell r="B51">
            <v>10050</v>
          </cell>
          <cell r="C51">
            <v>50</v>
          </cell>
          <cell r="D51" t="str">
            <v>450000.00 A 900000.00</v>
          </cell>
          <cell r="E51">
            <v>2500</v>
          </cell>
          <cell r="F51">
            <v>200</v>
          </cell>
          <cell r="G51">
            <v>196</v>
          </cell>
          <cell r="H51">
            <v>45729</v>
          </cell>
          <cell r="I51">
            <v>45854</v>
          </cell>
          <cell r="J51">
            <v>45848</v>
          </cell>
          <cell r="K51" t="str">
            <v>86.40%</v>
          </cell>
          <cell r="L51" t="str">
            <v>85.01%</v>
          </cell>
          <cell r="M51" t="str">
            <v>90.00%</v>
          </cell>
          <cell r="N51">
            <v>4</v>
          </cell>
          <cell r="O51">
            <v>4</v>
          </cell>
          <cell r="P51">
            <v>4</v>
          </cell>
          <cell r="Q51">
            <v>22</v>
          </cell>
          <cell r="R51">
            <v>34</v>
          </cell>
          <cell r="S51">
            <v>1</v>
          </cell>
          <cell r="T51">
            <v>1</v>
          </cell>
          <cell r="U51">
            <v>12</v>
          </cell>
          <cell r="V51">
            <v>1</v>
          </cell>
          <cell r="W51">
            <v>15</v>
          </cell>
        </row>
        <row r="52">
          <cell r="A52">
            <v>45809</v>
          </cell>
          <cell r="B52">
            <v>10051</v>
          </cell>
          <cell r="C52">
            <v>50</v>
          </cell>
          <cell r="D52" t="str">
            <v>100000.00 A 200000.00</v>
          </cell>
          <cell r="E52">
            <v>2500</v>
          </cell>
          <cell r="F52">
            <v>200</v>
          </cell>
          <cell r="G52">
            <v>197</v>
          </cell>
          <cell r="H52">
            <v>45763</v>
          </cell>
          <cell r="I52">
            <v>45854</v>
          </cell>
          <cell r="J52">
            <v>45848</v>
          </cell>
          <cell r="K52" t="str">
            <v>77.38%</v>
          </cell>
          <cell r="L52" t="str">
            <v>76.00%</v>
          </cell>
          <cell r="M52" t="str">
            <v>90.00%</v>
          </cell>
          <cell r="N52">
            <v>3</v>
          </cell>
          <cell r="O52">
            <v>2</v>
          </cell>
          <cell r="P52">
            <v>3</v>
          </cell>
          <cell r="Q52">
            <v>7</v>
          </cell>
          <cell r="R52">
            <v>15</v>
          </cell>
          <cell r="S52">
            <v>1</v>
          </cell>
          <cell r="T52">
            <v>1</v>
          </cell>
          <cell r="U52">
            <v>6</v>
          </cell>
          <cell r="V52">
            <v>1</v>
          </cell>
          <cell r="W52">
            <v>9</v>
          </cell>
        </row>
        <row r="53">
          <cell r="A53">
            <v>45809</v>
          </cell>
          <cell r="B53">
            <v>10052</v>
          </cell>
          <cell r="C53">
            <v>50</v>
          </cell>
          <cell r="D53" t="str">
            <v>200000.00 A 400000.00</v>
          </cell>
          <cell r="E53">
            <v>2500</v>
          </cell>
          <cell r="F53">
            <v>200</v>
          </cell>
          <cell r="G53">
            <v>198</v>
          </cell>
          <cell r="H53">
            <v>45792</v>
          </cell>
          <cell r="I53">
            <v>45854</v>
          </cell>
          <cell r="J53">
            <v>45848</v>
          </cell>
          <cell r="K53" t="str">
            <v>86.00%</v>
          </cell>
          <cell r="L53" t="str">
            <v>80.00%</v>
          </cell>
          <cell r="M53" t="str">
            <v>80.00%</v>
          </cell>
          <cell r="N53">
            <v>2</v>
          </cell>
          <cell r="O53">
            <v>2</v>
          </cell>
          <cell r="P53">
            <v>0</v>
          </cell>
          <cell r="Q53">
            <v>3</v>
          </cell>
          <cell r="R53">
            <v>7</v>
          </cell>
          <cell r="S53">
            <v>1</v>
          </cell>
          <cell r="T53">
            <v>1</v>
          </cell>
          <cell r="U53">
            <v>2</v>
          </cell>
          <cell r="V53">
            <v>0</v>
          </cell>
          <cell r="W53">
            <v>4</v>
          </cell>
        </row>
        <row r="54">
          <cell r="A54">
            <v>45839</v>
          </cell>
          <cell r="B54">
            <v>10001</v>
          </cell>
          <cell r="C54">
            <v>0</v>
          </cell>
          <cell r="D54" t="str">
            <v>58302.01 A 104943.63</v>
          </cell>
          <cell r="E54">
            <v>1000</v>
          </cell>
          <cell r="F54">
            <v>200</v>
          </cell>
          <cell r="G54">
            <v>155</v>
          </cell>
          <cell r="H54">
            <v>44522</v>
          </cell>
          <cell r="I54">
            <v>45883</v>
          </cell>
          <cell r="J54">
            <v>45880</v>
          </cell>
          <cell r="K54" t="str">
            <v>71.86%</v>
          </cell>
          <cell r="L54" t="str">
            <v>71.00%</v>
          </cell>
          <cell r="M54" t="str">
            <v>71.47%</v>
          </cell>
          <cell r="N54">
            <v>44</v>
          </cell>
          <cell r="O54">
            <v>77</v>
          </cell>
          <cell r="P54">
            <v>31</v>
          </cell>
          <cell r="Q54">
            <v>105</v>
          </cell>
          <cell r="R54">
            <v>257</v>
          </cell>
          <cell r="S54">
            <v>1</v>
          </cell>
          <cell r="T54">
            <v>1</v>
          </cell>
          <cell r="U54">
            <v>5</v>
          </cell>
          <cell r="V54">
            <v>1</v>
          </cell>
          <cell r="W54">
            <v>8</v>
          </cell>
        </row>
        <row r="55">
          <cell r="A55">
            <v>45839</v>
          </cell>
          <cell r="B55">
            <v>10002</v>
          </cell>
          <cell r="C55">
            <v>0</v>
          </cell>
          <cell r="D55" t="str">
            <v>114331.18 A 228662.37</v>
          </cell>
          <cell r="E55">
            <v>1000</v>
          </cell>
          <cell r="F55">
            <v>200</v>
          </cell>
          <cell r="G55">
            <v>159</v>
          </cell>
          <cell r="H55">
            <v>44641</v>
          </cell>
          <cell r="I55">
            <v>45883</v>
          </cell>
          <cell r="J55">
            <v>45880</v>
          </cell>
          <cell r="K55" t="str">
            <v>64.25%</v>
          </cell>
          <cell r="L55" t="str">
            <v>61.02%</v>
          </cell>
          <cell r="M55" t="str">
            <v>70.00%</v>
          </cell>
          <cell r="N55">
            <v>40</v>
          </cell>
          <cell r="O55">
            <v>57</v>
          </cell>
          <cell r="P55">
            <v>35</v>
          </cell>
          <cell r="Q55">
            <v>124</v>
          </cell>
          <cell r="R55">
            <v>256</v>
          </cell>
          <cell r="S55">
            <v>1</v>
          </cell>
          <cell r="T55">
            <v>1</v>
          </cell>
          <cell r="U55">
            <v>9</v>
          </cell>
          <cell r="V55">
            <v>1</v>
          </cell>
          <cell r="W55">
            <v>12</v>
          </cell>
        </row>
        <row r="56">
          <cell r="A56">
            <v>45839</v>
          </cell>
          <cell r="B56">
            <v>10003</v>
          </cell>
          <cell r="C56">
            <v>0</v>
          </cell>
          <cell r="D56" t="str">
            <v>251528.60 A 457324.74</v>
          </cell>
          <cell r="E56">
            <v>1000</v>
          </cell>
          <cell r="F56">
            <v>200</v>
          </cell>
          <cell r="G56">
            <v>159</v>
          </cell>
          <cell r="H56">
            <v>44641</v>
          </cell>
          <cell r="I56">
            <v>45883</v>
          </cell>
          <cell r="J56">
            <v>45880</v>
          </cell>
          <cell r="K56" t="str">
            <v>68.09%</v>
          </cell>
          <cell r="L56" t="str">
            <v>57.08%</v>
          </cell>
          <cell r="M56" t="str">
            <v>68.03%</v>
          </cell>
          <cell r="N56">
            <v>38</v>
          </cell>
          <cell r="O56">
            <v>130</v>
          </cell>
          <cell r="P56">
            <v>29</v>
          </cell>
          <cell r="Q56">
            <v>127</v>
          </cell>
          <cell r="R56">
            <v>324</v>
          </cell>
          <cell r="S56">
            <v>1</v>
          </cell>
          <cell r="T56">
            <v>1</v>
          </cell>
          <cell r="U56">
            <v>8</v>
          </cell>
          <cell r="V56">
            <v>1</v>
          </cell>
          <cell r="W56">
            <v>11</v>
          </cell>
        </row>
        <row r="57">
          <cell r="A57">
            <v>45839</v>
          </cell>
          <cell r="B57">
            <v>10004</v>
          </cell>
          <cell r="C57">
            <v>50</v>
          </cell>
          <cell r="D57" t="str">
            <v>116604.03 A 233208.05</v>
          </cell>
          <cell r="E57">
            <v>1000</v>
          </cell>
          <cell r="F57">
            <v>200</v>
          </cell>
          <cell r="G57">
            <v>155</v>
          </cell>
          <cell r="H57">
            <v>44518</v>
          </cell>
          <cell r="I57">
            <v>45883</v>
          </cell>
          <cell r="J57">
            <v>45880</v>
          </cell>
          <cell r="K57" t="str">
            <v>70.29%</v>
          </cell>
          <cell r="L57" t="str">
            <v>68.00%</v>
          </cell>
          <cell r="M57" t="str">
            <v>73.10%</v>
          </cell>
          <cell r="N57">
            <v>44</v>
          </cell>
          <cell r="O57">
            <v>51</v>
          </cell>
          <cell r="P57">
            <v>38</v>
          </cell>
          <cell r="Q57">
            <v>150</v>
          </cell>
          <cell r="R57">
            <v>283</v>
          </cell>
          <cell r="S57">
            <v>1</v>
          </cell>
          <cell r="T57">
            <v>1</v>
          </cell>
          <cell r="U57">
            <v>7</v>
          </cell>
          <cell r="V57">
            <v>1</v>
          </cell>
          <cell r="W57">
            <v>10</v>
          </cell>
        </row>
        <row r="58">
          <cell r="A58">
            <v>45839</v>
          </cell>
          <cell r="B58">
            <v>10005</v>
          </cell>
          <cell r="C58">
            <v>50</v>
          </cell>
          <cell r="D58" t="str">
            <v>256528.85 A 466416.10</v>
          </cell>
          <cell r="E58">
            <v>1000</v>
          </cell>
          <cell r="F58">
            <v>200</v>
          </cell>
          <cell r="G58">
            <v>155</v>
          </cell>
          <cell r="H58">
            <v>44518</v>
          </cell>
          <cell r="I58">
            <v>45883</v>
          </cell>
          <cell r="J58">
            <v>45880</v>
          </cell>
          <cell r="K58" t="str">
            <v>74.79%</v>
          </cell>
          <cell r="L58" t="str">
            <v>75.00%</v>
          </cell>
          <cell r="M58" t="str">
            <v>77.00%</v>
          </cell>
          <cell r="N58">
            <v>45</v>
          </cell>
          <cell r="O58">
            <v>48</v>
          </cell>
          <cell r="P58">
            <v>38</v>
          </cell>
          <cell r="Q58">
            <v>169</v>
          </cell>
          <cell r="R58">
            <v>300</v>
          </cell>
          <cell r="S58">
            <v>1</v>
          </cell>
          <cell r="T58">
            <v>1</v>
          </cell>
          <cell r="U58">
            <v>7</v>
          </cell>
          <cell r="V58">
            <v>1</v>
          </cell>
          <cell r="W58">
            <v>10</v>
          </cell>
        </row>
        <row r="59">
          <cell r="A59">
            <v>45839</v>
          </cell>
          <cell r="B59">
            <v>10006</v>
          </cell>
          <cell r="C59">
            <v>50</v>
          </cell>
          <cell r="D59" t="str">
            <v>524718.11 A 1049436.22</v>
          </cell>
          <cell r="E59">
            <v>1000</v>
          </cell>
          <cell r="F59">
            <v>200</v>
          </cell>
          <cell r="G59">
            <v>155</v>
          </cell>
          <cell r="H59">
            <v>44518</v>
          </cell>
          <cell r="I59">
            <v>45883</v>
          </cell>
          <cell r="J59">
            <v>45880</v>
          </cell>
          <cell r="K59" t="str">
            <v>74.61%</v>
          </cell>
          <cell r="L59" t="str">
            <v>72.35%</v>
          </cell>
          <cell r="M59" t="str">
            <v>74.00%</v>
          </cell>
          <cell r="N59">
            <v>43</v>
          </cell>
          <cell r="O59">
            <v>58</v>
          </cell>
          <cell r="P59">
            <v>38</v>
          </cell>
          <cell r="Q59">
            <v>206</v>
          </cell>
          <cell r="R59">
            <v>345</v>
          </cell>
          <cell r="S59">
            <v>1</v>
          </cell>
          <cell r="T59">
            <v>1</v>
          </cell>
          <cell r="U59">
            <v>6</v>
          </cell>
          <cell r="V59">
            <v>1</v>
          </cell>
          <cell r="W59">
            <v>9</v>
          </cell>
        </row>
        <row r="60">
          <cell r="A60">
            <v>45839</v>
          </cell>
          <cell r="B60">
            <v>10007</v>
          </cell>
          <cell r="C60">
            <v>50</v>
          </cell>
          <cell r="D60" t="str">
            <v>115097.19 A 230194.37</v>
          </cell>
          <cell r="E60">
            <v>1000</v>
          </cell>
          <cell r="F60">
            <v>200</v>
          </cell>
          <cell r="G60">
            <v>158</v>
          </cell>
          <cell r="H60">
            <v>44613</v>
          </cell>
          <cell r="I60">
            <v>45883</v>
          </cell>
          <cell r="J60">
            <v>45880</v>
          </cell>
          <cell r="K60" t="str">
            <v>71.57%</v>
          </cell>
          <cell r="L60" t="str">
            <v>71.00%</v>
          </cell>
          <cell r="M60" t="str">
            <v>71.63%</v>
          </cell>
          <cell r="N60">
            <v>41</v>
          </cell>
          <cell r="O60">
            <v>108</v>
          </cell>
          <cell r="P60">
            <v>34</v>
          </cell>
          <cell r="Q60">
            <v>162</v>
          </cell>
          <cell r="R60">
            <v>345</v>
          </cell>
          <cell r="S60">
            <v>1</v>
          </cell>
          <cell r="T60">
            <v>1</v>
          </cell>
          <cell r="U60">
            <v>5</v>
          </cell>
          <cell r="V60">
            <v>1</v>
          </cell>
          <cell r="W60">
            <v>8</v>
          </cell>
        </row>
        <row r="61">
          <cell r="A61">
            <v>45839</v>
          </cell>
          <cell r="B61">
            <v>10008</v>
          </cell>
          <cell r="C61">
            <v>50</v>
          </cell>
          <cell r="D61" t="str">
            <v>251528.60 A 457324.74</v>
          </cell>
          <cell r="E61">
            <v>1000</v>
          </cell>
          <cell r="F61">
            <v>200</v>
          </cell>
          <cell r="G61">
            <v>159</v>
          </cell>
          <cell r="H61">
            <v>44641</v>
          </cell>
          <cell r="I61">
            <v>45883</v>
          </cell>
          <cell r="J61">
            <v>45880</v>
          </cell>
          <cell r="K61" t="str">
            <v>73.73%</v>
          </cell>
          <cell r="L61" t="str">
            <v>71.00%</v>
          </cell>
          <cell r="M61" t="str">
            <v>79.50%</v>
          </cell>
          <cell r="N61">
            <v>40</v>
          </cell>
          <cell r="O61">
            <v>86</v>
          </cell>
          <cell r="P61">
            <v>37</v>
          </cell>
          <cell r="Q61">
            <v>154</v>
          </cell>
          <cell r="R61">
            <v>317</v>
          </cell>
          <cell r="S61">
            <v>1</v>
          </cell>
          <cell r="T61">
            <v>1</v>
          </cell>
          <cell r="U61">
            <v>7</v>
          </cell>
          <cell r="V61">
            <v>1</v>
          </cell>
          <cell r="W61">
            <v>10</v>
          </cell>
        </row>
        <row r="62">
          <cell r="A62">
            <v>45839</v>
          </cell>
          <cell r="B62">
            <v>10009</v>
          </cell>
          <cell r="C62">
            <v>50</v>
          </cell>
          <cell r="D62" t="str">
            <v>114331.18 A 228662.37</v>
          </cell>
          <cell r="E62">
            <v>1000</v>
          </cell>
          <cell r="F62">
            <v>200</v>
          </cell>
          <cell r="G62">
            <v>159</v>
          </cell>
          <cell r="H62">
            <v>44641</v>
          </cell>
          <cell r="I62">
            <v>45883</v>
          </cell>
          <cell r="J62">
            <v>45880</v>
          </cell>
          <cell r="K62" t="str">
            <v>69.63%</v>
          </cell>
          <cell r="L62" t="str">
            <v>65.13%</v>
          </cell>
          <cell r="M62" t="str">
            <v>70.20%</v>
          </cell>
          <cell r="N62">
            <v>40</v>
          </cell>
          <cell r="O62">
            <v>78</v>
          </cell>
          <cell r="P62">
            <v>36</v>
          </cell>
          <cell r="Q62">
            <v>138</v>
          </cell>
          <cell r="R62">
            <v>292</v>
          </cell>
          <cell r="S62">
            <v>1</v>
          </cell>
          <cell r="T62">
            <v>1</v>
          </cell>
          <cell r="U62">
            <v>15</v>
          </cell>
          <cell r="V62">
            <v>1</v>
          </cell>
          <cell r="W62">
            <v>18</v>
          </cell>
        </row>
        <row r="63">
          <cell r="A63">
            <v>45839</v>
          </cell>
          <cell r="B63">
            <v>10010</v>
          </cell>
          <cell r="C63">
            <v>50</v>
          </cell>
          <cell r="D63" t="str">
            <v>514490.33 A 1028980.65</v>
          </cell>
          <cell r="E63">
            <v>1000</v>
          </cell>
          <cell r="F63">
            <v>200</v>
          </cell>
          <cell r="G63">
            <v>159</v>
          </cell>
          <cell r="H63">
            <v>44641</v>
          </cell>
          <cell r="I63">
            <v>45883</v>
          </cell>
          <cell r="J63">
            <v>45880</v>
          </cell>
          <cell r="K63" t="str">
            <v>76.59%</v>
          </cell>
          <cell r="L63" t="str">
            <v>75.60%</v>
          </cell>
          <cell r="M63" t="str">
            <v>77.00%</v>
          </cell>
          <cell r="N63">
            <v>41</v>
          </cell>
          <cell r="O63">
            <v>64</v>
          </cell>
          <cell r="P63">
            <v>31</v>
          </cell>
          <cell r="Q63">
            <v>176</v>
          </cell>
          <cell r="R63">
            <v>312</v>
          </cell>
          <cell r="S63">
            <v>1</v>
          </cell>
          <cell r="T63">
            <v>1</v>
          </cell>
          <cell r="U63">
            <v>5</v>
          </cell>
          <cell r="V63">
            <v>1</v>
          </cell>
          <cell r="W63">
            <v>8</v>
          </cell>
        </row>
        <row r="64">
          <cell r="A64">
            <v>45839</v>
          </cell>
          <cell r="B64">
            <v>10011</v>
          </cell>
          <cell r="C64">
            <v>0</v>
          </cell>
          <cell r="D64" t="str">
            <v>57165.59 A 102898.06</v>
          </cell>
          <cell r="E64">
            <v>1000</v>
          </cell>
          <cell r="F64">
            <v>200</v>
          </cell>
          <cell r="G64">
            <v>159</v>
          </cell>
          <cell r="H64">
            <v>44641</v>
          </cell>
          <cell r="I64">
            <v>45883</v>
          </cell>
          <cell r="J64">
            <v>45880</v>
          </cell>
          <cell r="K64" t="str">
            <v>71.59%</v>
          </cell>
          <cell r="L64" t="str">
            <v>50.73%</v>
          </cell>
          <cell r="M64" t="str">
            <v>73.73%</v>
          </cell>
          <cell r="N64">
            <v>39</v>
          </cell>
          <cell r="O64">
            <v>42</v>
          </cell>
          <cell r="P64">
            <v>31</v>
          </cell>
          <cell r="Q64">
            <v>97</v>
          </cell>
          <cell r="R64">
            <v>209</v>
          </cell>
          <cell r="S64">
            <v>1</v>
          </cell>
          <cell r="T64">
            <v>1</v>
          </cell>
          <cell r="U64">
            <v>7</v>
          </cell>
          <cell r="V64">
            <v>1</v>
          </cell>
          <cell r="W64">
            <v>10</v>
          </cell>
        </row>
        <row r="65">
          <cell r="A65">
            <v>45839</v>
          </cell>
          <cell r="B65">
            <v>10012</v>
          </cell>
          <cell r="C65">
            <v>50</v>
          </cell>
          <cell r="D65" t="str">
            <v>248357.94 A 451559.90</v>
          </cell>
          <cell r="E65">
            <v>1000</v>
          </cell>
          <cell r="F65">
            <v>200</v>
          </cell>
          <cell r="G65">
            <v>162</v>
          </cell>
          <cell r="H65">
            <v>44732</v>
          </cell>
          <cell r="I65">
            <v>45883</v>
          </cell>
          <cell r="J65">
            <v>45880</v>
          </cell>
          <cell r="K65" t="str">
            <v>71.66%</v>
          </cell>
          <cell r="L65" t="str">
            <v>70.00%</v>
          </cell>
          <cell r="M65" t="str">
            <v>74.89%</v>
          </cell>
          <cell r="N65">
            <v>37</v>
          </cell>
          <cell r="O65">
            <v>80</v>
          </cell>
          <cell r="P65">
            <v>31</v>
          </cell>
          <cell r="Q65">
            <v>140</v>
          </cell>
          <cell r="R65">
            <v>288</v>
          </cell>
          <cell r="S65">
            <v>1</v>
          </cell>
          <cell r="T65">
            <v>1</v>
          </cell>
          <cell r="U65">
            <v>7</v>
          </cell>
          <cell r="V65">
            <v>1</v>
          </cell>
          <cell r="W65">
            <v>10</v>
          </cell>
        </row>
        <row r="66">
          <cell r="A66">
            <v>45839</v>
          </cell>
          <cell r="B66">
            <v>10013</v>
          </cell>
          <cell r="C66">
            <v>50</v>
          </cell>
          <cell r="D66" t="str">
            <v>508004.88 A 1016009.75</v>
          </cell>
          <cell r="E66">
            <v>1000</v>
          </cell>
          <cell r="F66">
            <v>200</v>
          </cell>
          <cell r="G66">
            <v>162</v>
          </cell>
          <cell r="H66">
            <v>44732</v>
          </cell>
          <cell r="I66">
            <v>45883</v>
          </cell>
          <cell r="J66">
            <v>45880</v>
          </cell>
          <cell r="K66" t="str">
            <v>73.52%</v>
          </cell>
          <cell r="L66" t="str">
            <v>74.00%</v>
          </cell>
          <cell r="M66" t="str">
            <v>75.29%</v>
          </cell>
          <cell r="N66">
            <v>38</v>
          </cell>
          <cell r="O66">
            <v>103</v>
          </cell>
          <cell r="P66">
            <v>30</v>
          </cell>
          <cell r="Q66">
            <v>146</v>
          </cell>
          <cell r="R66">
            <v>317</v>
          </cell>
          <cell r="S66">
            <v>1</v>
          </cell>
          <cell r="T66">
            <v>1</v>
          </cell>
          <cell r="U66">
            <v>6</v>
          </cell>
          <cell r="V66">
            <v>1</v>
          </cell>
          <cell r="W66">
            <v>9</v>
          </cell>
        </row>
        <row r="67">
          <cell r="A67">
            <v>45839</v>
          </cell>
          <cell r="B67">
            <v>10014</v>
          </cell>
          <cell r="C67">
            <v>50</v>
          </cell>
          <cell r="D67" t="str">
            <v>113519.11 A 227038.20</v>
          </cell>
          <cell r="E67">
            <v>1000</v>
          </cell>
          <cell r="F67">
            <v>200</v>
          </cell>
          <cell r="G67">
            <v>161</v>
          </cell>
          <cell r="H67">
            <v>44708</v>
          </cell>
          <cell r="I67">
            <v>45883</v>
          </cell>
          <cell r="J67">
            <v>45880</v>
          </cell>
          <cell r="K67" t="str">
            <v>70.96%</v>
          </cell>
          <cell r="L67" t="str">
            <v>66.09%</v>
          </cell>
          <cell r="M67" t="str">
            <v>74.88%</v>
          </cell>
          <cell r="N67">
            <v>39</v>
          </cell>
          <cell r="O67">
            <v>88</v>
          </cell>
          <cell r="P67">
            <v>33</v>
          </cell>
          <cell r="Q67">
            <v>130</v>
          </cell>
          <cell r="R67">
            <v>290</v>
          </cell>
          <cell r="S67">
            <v>1</v>
          </cell>
          <cell r="T67">
            <v>1</v>
          </cell>
          <cell r="U67">
            <v>6</v>
          </cell>
          <cell r="V67">
            <v>1</v>
          </cell>
          <cell r="W67">
            <v>9</v>
          </cell>
        </row>
        <row r="68">
          <cell r="A68">
            <v>45839</v>
          </cell>
          <cell r="B68">
            <v>10015</v>
          </cell>
          <cell r="C68">
            <v>50</v>
          </cell>
          <cell r="D68" t="str">
            <v>112777.57 A 225555.15</v>
          </cell>
          <cell r="E68">
            <v>1000</v>
          </cell>
          <cell r="F68">
            <v>200</v>
          </cell>
          <cell r="G68">
            <v>163</v>
          </cell>
          <cell r="H68">
            <v>44760</v>
          </cell>
          <cell r="I68">
            <v>45883</v>
          </cell>
          <cell r="J68">
            <v>45880</v>
          </cell>
          <cell r="K68" t="str">
            <v>71.66%</v>
          </cell>
          <cell r="L68" t="str">
            <v>67.11%</v>
          </cell>
          <cell r="M68" t="str">
            <v>81.00%</v>
          </cell>
          <cell r="N68">
            <v>37</v>
          </cell>
          <cell r="O68">
            <v>84</v>
          </cell>
          <cell r="P68">
            <v>31</v>
          </cell>
          <cell r="Q68">
            <v>118</v>
          </cell>
          <cell r="R68">
            <v>270</v>
          </cell>
          <cell r="S68">
            <v>1</v>
          </cell>
          <cell r="T68">
            <v>1</v>
          </cell>
          <cell r="U68">
            <v>11</v>
          </cell>
          <cell r="V68">
            <v>1</v>
          </cell>
          <cell r="W68">
            <v>14</v>
          </cell>
        </row>
        <row r="69">
          <cell r="A69">
            <v>45839</v>
          </cell>
          <cell r="B69">
            <v>10016</v>
          </cell>
          <cell r="C69">
            <v>0</v>
          </cell>
          <cell r="D69" t="str">
            <v>53865.77 A 96958.39</v>
          </cell>
          <cell r="E69">
            <v>1000</v>
          </cell>
          <cell r="F69">
            <v>200</v>
          </cell>
          <cell r="G69">
            <v>165</v>
          </cell>
          <cell r="H69">
            <v>44832</v>
          </cell>
          <cell r="I69">
            <v>45883</v>
          </cell>
          <cell r="J69">
            <v>45880</v>
          </cell>
          <cell r="K69" t="str">
            <v>46.32%</v>
          </cell>
          <cell r="L69" t="str">
            <v>41.10%</v>
          </cell>
          <cell r="M69" t="str">
            <v>55.69%</v>
          </cell>
          <cell r="N69">
            <v>32</v>
          </cell>
          <cell r="O69">
            <v>42</v>
          </cell>
          <cell r="P69">
            <v>25</v>
          </cell>
          <cell r="Q69">
            <v>61</v>
          </cell>
          <cell r="R69">
            <v>160</v>
          </cell>
          <cell r="S69">
            <v>1</v>
          </cell>
          <cell r="T69">
            <v>1</v>
          </cell>
          <cell r="U69">
            <v>3</v>
          </cell>
          <cell r="V69">
            <v>1</v>
          </cell>
          <cell r="W69">
            <v>6</v>
          </cell>
        </row>
        <row r="70">
          <cell r="A70">
            <v>45839</v>
          </cell>
          <cell r="B70">
            <v>10017</v>
          </cell>
          <cell r="C70">
            <v>50</v>
          </cell>
          <cell r="D70" t="str">
            <v>247149.03 A 449361.88</v>
          </cell>
          <cell r="E70">
            <v>1000</v>
          </cell>
          <cell r="F70">
            <v>200</v>
          </cell>
          <cell r="G70">
            <v>164</v>
          </cell>
          <cell r="H70">
            <v>44802</v>
          </cell>
          <cell r="I70">
            <v>45883</v>
          </cell>
          <cell r="J70">
            <v>45880</v>
          </cell>
          <cell r="K70" t="str">
            <v>75.05%</v>
          </cell>
          <cell r="L70" t="str">
            <v>75.10%</v>
          </cell>
          <cell r="M70" t="str">
            <v>78.00%</v>
          </cell>
          <cell r="N70">
            <v>36</v>
          </cell>
          <cell r="O70">
            <v>48</v>
          </cell>
          <cell r="P70">
            <v>30</v>
          </cell>
          <cell r="Q70">
            <v>123</v>
          </cell>
          <cell r="R70">
            <v>237</v>
          </cell>
          <cell r="S70">
            <v>1</v>
          </cell>
          <cell r="T70">
            <v>1</v>
          </cell>
          <cell r="U70">
            <v>6</v>
          </cell>
          <cell r="V70">
            <v>1</v>
          </cell>
          <cell r="W70">
            <v>9</v>
          </cell>
        </row>
        <row r="71">
          <cell r="A71">
            <v>45839</v>
          </cell>
          <cell r="B71">
            <v>10018</v>
          </cell>
          <cell r="C71">
            <v>50</v>
          </cell>
          <cell r="D71" t="str">
            <v>112340.47 A 224680.93</v>
          </cell>
          <cell r="E71">
            <v>1000</v>
          </cell>
          <cell r="F71">
            <v>200</v>
          </cell>
          <cell r="G71">
            <v>164</v>
          </cell>
          <cell r="H71">
            <v>44802</v>
          </cell>
          <cell r="I71">
            <v>45883</v>
          </cell>
          <cell r="J71">
            <v>45880</v>
          </cell>
          <cell r="K71" t="str">
            <v>75.69%</v>
          </cell>
          <cell r="L71" t="str">
            <v>65.18%</v>
          </cell>
          <cell r="M71" t="str">
            <v>68.48%</v>
          </cell>
          <cell r="N71">
            <v>35</v>
          </cell>
          <cell r="O71">
            <v>53</v>
          </cell>
          <cell r="P71">
            <v>31</v>
          </cell>
          <cell r="Q71">
            <v>103</v>
          </cell>
          <cell r="R71">
            <v>222</v>
          </cell>
          <cell r="S71">
            <v>1</v>
          </cell>
          <cell r="T71">
            <v>1</v>
          </cell>
          <cell r="U71">
            <v>13</v>
          </cell>
          <cell r="V71">
            <v>1</v>
          </cell>
          <cell r="W71">
            <v>16</v>
          </cell>
        </row>
        <row r="72">
          <cell r="A72">
            <v>45839</v>
          </cell>
          <cell r="B72">
            <v>10019</v>
          </cell>
          <cell r="C72">
            <v>0</v>
          </cell>
          <cell r="D72" t="str">
            <v>107731.54 A 215463.09</v>
          </cell>
          <cell r="E72">
            <v>1000</v>
          </cell>
          <cell r="F72">
            <v>200</v>
          </cell>
          <cell r="G72">
            <v>165</v>
          </cell>
          <cell r="H72">
            <v>44832</v>
          </cell>
          <cell r="I72">
            <v>45883</v>
          </cell>
          <cell r="J72">
            <v>45880</v>
          </cell>
          <cell r="K72" t="str">
            <v>60.20%</v>
          </cell>
          <cell r="L72" t="str">
            <v>40.05%</v>
          </cell>
          <cell r="M72" t="str">
            <v>62.19%</v>
          </cell>
          <cell r="N72">
            <v>34</v>
          </cell>
          <cell r="O72">
            <v>41</v>
          </cell>
          <cell r="P72">
            <v>25</v>
          </cell>
          <cell r="Q72">
            <v>77</v>
          </cell>
          <cell r="R72">
            <v>177</v>
          </cell>
          <cell r="S72">
            <v>1</v>
          </cell>
          <cell r="T72">
            <v>1</v>
          </cell>
          <cell r="U72">
            <v>7</v>
          </cell>
          <cell r="V72">
            <v>1</v>
          </cell>
          <cell r="W72">
            <v>10</v>
          </cell>
        </row>
        <row r="73">
          <cell r="A73">
            <v>45839</v>
          </cell>
          <cell r="B73">
            <v>10020</v>
          </cell>
          <cell r="C73">
            <v>50</v>
          </cell>
          <cell r="D73" t="str">
            <v>484791.95 A 969583.90</v>
          </cell>
          <cell r="E73">
            <v>1000</v>
          </cell>
          <cell r="F73">
            <v>200</v>
          </cell>
          <cell r="G73">
            <v>165</v>
          </cell>
          <cell r="H73">
            <v>44832</v>
          </cell>
          <cell r="I73">
            <v>45883</v>
          </cell>
          <cell r="J73">
            <v>45880</v>
          </cell>
          <cell r="K73" t="str">
            <v>72.70%</v>
          </cell>
          <cell r="L73" t="str">
            <v>73.00%</v>
          </cell>
          <cell r="M73" t="str">
            <v>78.40%</v>
          </cell>
          <cell r="N73">
            <v>35</v>
          </cell>
          <cell r="O73">
            <v>31</v>
          </cell>
          <cell r="P73">
            <v>29</v>
          </cell>
          <cell r="Q73">
            <v>113</v>
          </cell>
          <cell r="R73">
            <v>208</v>
          </cell>
          <cell r="S73">
            <v>1</v>
          </cell>
          <cell r="T73">
            <v>1</v>
          </cell>
          <cell r="U73">
            <v>9</v>
          </cell>
          <cell r="V73">
            <v>1</v>
          </cell>
          <cell r="W73">
            <v>12</v>
          </cell>
        </row>
        <row r="74">
          <cell r="A74">
            <v>45839</v>
          </cell>
          <cell r="B74">
            <v>10021</v>
          </cell>
          <cell r="C74">
            <v>50</v>
          </cell>
          <cell r="D74" t="str">
            <v>107731.54 A 215463.09</v>
          </cell>
          <cell r="E74">
            <v>2500</v>
          </cell>
          <cell r="F74">
            <v>200</v>
          </cell>
          <cell r="G74">
            <v>165</v>
          </cell>
          <cell r="H74">
            <v>44832</v>
          </cell>
          <cell r="I74">
            <v>45883</v>
          </cell>
          <cell r="J74">
            <v>45880</v>
          </cell>
          <cell r="K74" t="str">
            <v>75.12%</v>
          </cell>
          <cell r="L74" t="str">
            <v>66.00%</v>
          </cell>
          <cell r="M74" t="str">
            <v>82.50%</v>
          </cell>
          <cell r="N74">
            <v>34</v>
          </cell>
          <cell r="O74">
            <v>42</v>
          </cell>
          <cell r="P74">
            <v>32</v>
          </cell>
          <cell r="Q74">
            <v>415</v>
          </cell>
          <cell r="R74">
            <v>523</v>
          </cell>
          <cell r="S74">
            <v>1</v>
          </cell>
          <cell r="T74">
            <v>1</v>
          </cell>
          <cell r="U74">
            <v>24</v>
          </cell>
          <cell r="V74">
            <v>1</v>
          </cell>
          <cell r="W74">
            <v>27</v>
          </cell>
        </row>
        <row r="75">
          <cell r="A75">
            <v>45839</v>
          </cell>
          <cell r="B75">
            <v>10023</v>
          </cell>
          <cell r="C75">
            <v>50</v>
          </cell>
          <cell r="D75" t="str">
            <v>237009.40 A 430926.18</v>
          </cell>
          <cell r="E75">
            <v>2500</v>
          </cell>
          <cell r="F75">
            <v>200</v>
          </cell>
          <cell r="G75">
            <v>165</v>
          </cell>
          <cell r="H75">
            <v>44832</v>
          </cell>
          <cell r="I75">
            <v>45883</v>
          </cell>
          <cell r="J75">
            <v>45880</v>
          </cell>
          <cell r="K75" t="str">
            <v>80.65%</v>
          </cell>
          <cell r="L75" t="str">
            <v>75.88%</v>
          </cell>
          <cell r="M75" t="str">
            <v>82.50%</v>
          </cell>
          <cell r="N75">
            <v>34</v>
          </cell>
          <cell r="O75">
            <v>34</v>
          </cell>
          <cell r="P75">
            <v>33</v>
          </cell>
          <cell r="Q75">
            <v>439</v>
          </cell>
          <cell r="R75">
            <v>540</v>
          </cell>
          <cell r="S75">
            <v>1</v>
          </cell>
          <cell r="T75">
            <v>1</v>
          </cell>
          <cell r="U75">
            <v>23</v>
          </cell>
          <cell r="V75">
            <v>1</v>
          </cell>
          <cell r="W75">
            <v>26</v>
          </cell>
        </row>
        <row r="76">
          <cell r="A76">
            <v>45839</v>
          </cell>
          <cell r="B76">
            <v>10024</v>
          </cell>
          <cell r="C76">
            <v>50</v>
          </cell>
          <cell r="D76" t="str">
            <v>108878.64 A 217757.28</v>
          </cell>
          <cell r="E76">
            <v>2500</v>
          </cell>
          <cell r="F76">
            <v>200</v>
          </cell>
          <cell r="G76">
            <v>169</v>
          </cell>
          <cell r="H76">
            <v>44942</v>
          </cell>
          <cell r="I76">
            <v>45883</v>
          </cell>
          <cell r="J76">
            <v>45880</v>
          </cell>
          <cell r="K76" t="str">
            <v>80.63%</v>
          </cell>
          <cell r="L76" t="str">
            <v>79.00%</v>
          </cell>
          <cell r="M76" t="str">
            <v>84.50%</v>
          </cell>
          <cell r="N76">
            <v>30</v>
          </cell>
          <cell r="O76">
            <v>31</v>
          </cell>
          <cell r="P76">
            <v>29</v>
          </cell>
          <cell r="Q76">
            <v>306</v>
          </cell>
          <cell r="R76">
            <v>396</v>
          </cell>
          <cell r="S76">
            <v>1</v>
          </cell>
          <cell r="T76">
            <v>1</v>
          </cell>
          <cell r="U76">
            <v>34</v>
          </cell>
          <cell r="V76">
            <v>1</v>
          </cell>
          <cell r="W76">
            <v>37</v>
          </cell>
        </row>
        <row r="77">
          <cell r="A77">
            <v>45839</v>
          </cell>
          <cell r="B77">
            <v>10025</v>
          </cell>
          <cell r="C77">
            <v>50</v>
          </cell>
          <cell r="D77" t="str">
            <v>108721.27 A 217442.55</v>
          </cell>
          <cell r="E77">
            <v>2500</v>
          </cell>
          <cell r="F77">
            <v>200</v>
          </cell>
          <cell r="G77">
            <v>174</v>
          </cell>
          <cell r="H77">
            <v>45100</v>
          </cell>
          <cell r="I77">
            <v>45883</v>
          </cell>
          <cell r="J77">
            <v>45880</v>
          </cell>
          <cell r="K77" t="str">
            <v>75.27%</v>
          </cell>
          <cell r="L77" t="str">
            <v>76.21%</v>
          </cell>
          <cell r="M77" t="str">
            <v>80.00%</v>
          </cell>
          <cell r="N77">
            <v>26</v>
          </cell>
          <cell r="O77">
            <v>27</v>
          </cell>
          <cell r="P77">
            <v>26</v>
          </cell>
          <cell r="Q77">
            <v>277</v>
          </cell>
          <cell r="R77">
            <v>356</v>
          </cell>
          <cell r="S77">
            <v>1</v>
          </cell>
          <cell r="T77">
            <v>1</v>
          </cell>
          <cell r="U77">
            <v>27</v>
          </cell>
          <cell r="V77">
            <v>1</v>
          </cell>
          <cell r="W77">
            <v>30</v>
          </cell>
        </row>
        <row r="78">
          <cell r="A78">
            <v>45839</v>
          </cell>
          <cell r="B78">
            <v>10026</v>
          </cell>
          <cell r="C78">
            <v>0</v>
          </cell>
          <cell r="D78" t="str">
            <v>237413.50 A 431660.90</v>
          </cell>
          <cell r="E78">
            <v>2500</v>
          </cell>
          <cell r="F78">
            <v>200</v>
          </cell>
          <cell r="G78">
            <v>166</v>
          </cell>
          <cell r="H78">
            <v>44858</v>
          </cell>
          <cell r="I78">
            <v>45883</v>
          </cell>
          <cell r="J78">
            <v>45880</v>
          </cell>
          <cell r="K78" t="str">
            <v>70.36%</v>
          </cell>
          <cell r="L78" t="str">
            <v>68.00%</v>
          </cell>
          <cell r="M78" t="str">
            <v>79.58%</v>
          </cell>
          <cell r="N78">
            <v>34</v>
          </cell>
          <cell r="O78">
            <v>34</v>
          </cell>
          <cell r="P78">
            <v>27</v>
          </cell>
          <cell r="Q78">
            <v>214</v>
          </cell>
          <cell r="R78">
            <v>309</v>
          </cell>
          <cell r="S78">
            <v>1</v>
          </cell>
          <cell r="T78">
            <v>1</v>
          </cell>
          <cell r="U78">
            <v>21</v>
          </cell>
          <cell r="V78">
            <v>1</v>
          </cell>
          <cell r="W78">
            <v>24</v>
          </cell>
        </row>
        <row r="79">
          <cell r="A79">
            <v>45839</v>
          </cell>
          <cell r="B79">
            <v>10027</v>
          </cell>
          <cell r="C79">
            <v>50</v>
          </cell>
          <cell r="D79" t="str">
            <v>489516.03 A 979032.07</v>
          </cell>
          <cell r="E79">
            <v>2500</v>
          </cell>
          <cell r="F79">
            <v>200</v>
          </cell>
          <cell r="G79">
            <v>167</v>
          </cell>
          <cell r="H79">
            <v>44889</v>
          </cell>
          <cell r="I79">
            <v>45883</v>
          </cell>
          <cell r="J79">
            <v>45880</v>
          </cell>
          <cell r="K79" t="str">
            <v>78.03%</v>
          </cell>
          <cell r="L79" t="str">
            <v>77.00%</v>
          </cell>
          <cell r="M79" t="str">
            <v>80.35%</v>
          </cell>
          <cell r="N79">
            <v>31</v>
          </cell>
          <cell r="O79">
            <v>33</v>
          </cell>
          <cell r="P79">
            <v>31</v>
          </cell>
          <cell r="Q79">
            <v>428</v>
          </cell>
          <cell r="R79">
            <v>523</v>
          </cell>
          <cell r="S79">
            <v>1</v>
          </cell>
          <cell r="T79">
            <v>1</v>
          </cell>
          <cell r="U79">
            <v>32</v>
          </cell>
          <cell r="V79">
            <v>1</v>
          </cell>
          <cell r="W79">
            <v>35</v>
          </cell>
        </row>
        <row r="80">
          <cell r="A80">
            <v>45839</v>
          </cell>
          <cell r="B80">
            <v>10028</v>
          </cell>
          <cell r="C80">
            <v>0</v>
          </cell>
          <cell r="D80" t="str">
            <v>108651.54 A 217303.08</v>
          </cell>
          <cell r="E80">
            <v>2500</v>
          </cell>
          <cell r="F80">
            <v>200</v>
          </cell>
          <cell r="G80">
            <v>170</v>
          </cell>
          <cell r="H80">
            <v>44973</v>
          </cell>
          <cell r="I80">
            <v>45883</v>
          </cell>
          <cell r="J80">
            <v>45880</v>
          </cell>
          <cell r="K80" t="str">
            <v>65.40%</v>
          </cell>
          <cell r="L80" t="str">
            <v>65.80%</v>
          </cell>
          <cell r="M80" t="str">
            <v>85.00%</v>
          </cell>
          <cell r="N80">
            <v>26</v>
          </cell>
          <cell r="O80">
            <v>32</v>
          </cell>
          <cell r="P80">
            <v>27</v>
          </cell>
          <cell r="Q80">
            <v>224</v>
          </cell>
          <cell r="R80">
            <v>309</v>
          </cell>
          <cell r="S80">
            <v>1</v>
          </cell>
          <cell r="T80">
            <v>1</v>
          </cell>
          <cell r="U80">
            <v>19</v>
          </cell>
          <cell r="V80">
            <v>1</v>
          </cell>
          <cell r="W80">
            <v>22</v>
          </cell>
        </row>
        <row r="81">
          <cell r="A81">
            <v>45839</v>
          </cell>
          <cell r="B81">
            <v>10029</v>
          </cell>
          <cell r="C81">
            <v>0</v>
          </cell>
          <cell r="D81" t="str">
            <v>54458.06 A 98024.52</v>
          </cell>
          <cell r="E81">
            <v>2500</v>
          </cell>
          <cell r="F81">
            <v>200</v>
          </cell>
          <cell r="G81">
            <v>172</v>
          </cell>
          <cell r="H81">
            <v>45034</v>
          </cell>
          <cell r="I81">
            <v>45883</v>
          </cell>
          <cell r="J81">
            <v>45880</v>
          </cell>
          <cell r="K81" t="str">
            <v>67.09%</v>
          </cell>
          <cell r="L81" t="str">
            <v>60.01%</v>
          </cell>
          <cell r="M81" t="str">
            <v>75.00%</v>
          </cell>
          <cell r="N81">
            <v>25</v>
          </cell>
          <cell r="O81">
            <v>28</v>
          </cell>
          <cell r="P81">
            <v>20</v>
          </cell>
          <cell r="Q81">
            <v>125</v>
          </cell>
          <cell r="R81">
            <v>198</v>
          </cell>
          <cell r="S81">
            <v>1</v>
          </cell>
          <cell r="T81">
            <v>1</v>
          </cell>
          <cell r="U81">
            <v>11</v>
          </cell>
          <cell r="V81">
            <v>1</v>
          </cell>
          <cell r="W81">
            <v>14</v>
          </cell>
        </row>
        <row r="82">
          <cell r="A82">
            <v>45839</v>
          </cell>
          <cell r="B82">
            <v>10030</v>
          </cell>
          <cell r="C82">
            <v>50</v>
          </cell>
          <cell r="D82" t="str">
            <v>239186.80 A 434885.09</v>
          </cell>
          <cell r="E82">
            <v>2500</v>
          </cell>
          <cell r="F82">
            <v>200</v>
          </cell>
          <cell r="G82">
            <v>174</v>
          </cell>
          <cell r="H82">
            <v>45100</v>
          </cell>
          <cell r="I82">
            <v>45883</v>
          </cell>
          <cell r="J82">
            <v>45880</v>
          </cell>
          <cell r="K82" t="str">
            <v>79.86%</v>
          </cell>
          <cell r="L82" t="str">
            <v>79.05%</v>
          </cell>
          <cell r="M82" t="str">
            <v>83.00%</v>
          </cell>
          <cell r="N82">
            <v>26</v>
          </cell>
          <cell r="O82">
            <v>26</v>
          </cell>
          <cell r="P82">
            <v>25</v>
          </cell>
          <cell r="Q82">
            <v>259</v>
          </cell>
          <cell r="R82">
            <v>336</v>
          </cell>
          <cell r="S82">
            <v>1</v>
          </cell>
          <cell r="T82">
            <v>1</v>
          </cell>
          <cell r="U82">
            <v>20</v>
          </cell>
          <cell r="V82">
            <v>1</v>
          </cell>
          <cell r="W82">
            <v>23</v>
          </cell>
        </row>
        <row r="83">
          <cell r="A83">
            <v>45839</v>
          </cell>
          <cell r="B83">
            <v>10031</v>
          </cell>
          <cell r="C83">
            <v>50</v>
          </cell>
          <cell r="D83" t="str">
            <v>489197.24 A 978394.48</v>
          </cell>
          <cell r="E83">
            <v>2500</v>
          </cell>
          <cell r="F83">
            <v>200</v>
          </cell>
          <cell r="G83">
            <v>175</v>
          </cell>
          <cell r="H83">
            <v>45125</v>
          </cell>
          <cell r="I83">
            <v>45883</v>
          </cell>
          <cell r="J83">
            <v>45880</v>
          </cell>
          <cell r="K83" t="str">
            <v>79.23%</v>
          </cell>
          <cell r="L83" t="str">
            <v>79.00%</v>
          </cell>
          <cell r="M83" t="str">
            <v>81.74%</v>
          </cell>
          <cell r="N83">
            <v>25</v>
          </cell>
          <cell r="O83">
            <v>24</v>
          </cell>
          <cell r="P83">
            <v>24</v>
          </cell>
          <cell r="Q83">
            <v>289</v>
          </cell>
          <cell r="R83">
            <v>362</v>
          </cell>
          <cell r="S83">
            <v>1</v>
          </cell>
          <cell r="T83">
            <v>1</v>
          </cell>
          <cell r="U83">
            <v>25</v>
          </cell>
          <cell r="V83">
            <v>1</v>
          </cell>
          <cell r="W83">
            <v>28</v>
          </cell>
        </row>
        <row r="84">
          <cell r="A84">
            <v>45839</v>
          </cell>
          <cell r="B84">
            <v>10032</v>
          </cell>
          <cell r="C84">
            <v>0</v>
          </cell>
          <cell r="D84" t="str">
            <v>52030.45 A 93654.81</v>
          </cell>
          <cell r="E84">
            <v>2500</v>
          </cell>
          <cell r="F84">
            <v>240</v>
          </cell>
          <cell r="G84">
            <v>217</v>
          </cell>
          <cell r="H84">
            <v>45197</v>
          </cell>
          <cell r="I84">
            <v>45883</v>
          </cell>
          <cell r="J84">
            <v>45880</v>
          </cell>
          <cell r="K84" t="str">
            <v>60.09%</v>
          </cell>
          <cell r="L84" t="str">
            <v>58.00%</v>
          </cell>
          <cell r="M84" t="str">
            <v>72.76%</v>
          </cell>
          <cell r="N84">
            <v>21</v>
          </cell>
          <cell r="O84">
            <v>25</v>
          </cell>
          <cell r="P84">
            <v>14</v>
          </cell>
          <cell r="Q84">
            <v>72</v>
          </cell>
          <cell r="R84">
            <v>132</v>
          </cell>
          <cell r="S84">
            <v>1</v>
          </cell>
          <cell r="T84">
            <v>1</v>
          </cell>
          <cell r="U84">
            <v>9</v>
          </cell>
          <cell r="V84">
            <v>1</v>
          </cell>
          <cell r="W84">
            <v>12</v>
          </cell>
        </row>
        <row r="85">
          <cell r="A85">
            <v>45839</v>
          </cell>
          <cell r="B85">
            <v>10033</v>
          </cell>
          <cell r="C85">
            <v>0</v>
          </cell>
          <cell r="D85" t="str">
            <v>104060.90 A 208121.80</v>
          </cell>
          <cell r="E85">
            <v>2500</v>
          </cell>
          <cell r="F85">
            <v>240</v>
          </cell>
          <cell r="G85">
            <v>217</v>
          </cell>
          <cell r="H85">
            <v>45188</v>
          </cell>
          <cell r="I85">
            <v>45883</v>
          </cell>
          <cell r="J85">
            <v>45880</v>
          </cell>
          <cell r="K85" t="str">
            <v>62.28%</v>
          </cell>
          <cell r="L85" t="str">
            <v>55.00%</v>
          </cell>
          <cell r="M85" t="str">
            <v>78.42%</v>
          </cell>
          <cell r="N85">
            <v>23</v>
          </cell>
          <cell r="O85">
            <v>23</v>
          </cell>
          <cell r="P85">
            <v>20</v>
          </cell>
          <cell r="Q85">
            <v>105</v>
          </cell>
          <cell r="R85">
            <v>171</v>
          </cell>
          <cell r="S85">
            <v>1</v>
          </cell>
          <cell r="T85">
            <v>1</v>
          </cell>
          <cell r="U85">
            <v>14</v>
          </cell>
          <cell r="V85">
            <v>1</v>
          </cell>
          <cell r="W85">
            <v>17</v>
          </cell>
        </row>
        <row r="86">
          <cell r="A86">
            <v>45839</v>
          </cell>
          <cell r="B86">
            <v>10034</v>
          </cell>
          <cell r="C86">
            <v>50</v>
          </cell>
          <cell r="D86" t="str">
            <v>104060.90 A 208121.80</v>
          </cell>
          <cell r="E86">
            <v>2500</v>
          </cell>
          <cell r="F86">
            <v>200</v>
          </cell>
          <cell r="G86">
            <v>177</v>
          </cell>
          <cell r="H86">
            <v>45188</v>
          </cell>
          <cell r="I86">
            <v>45883</v>
          </cell>
          <cell r="J86">
            <v>45880</v>
          </cell>
          <cell r="K86" t="str">
            <v>76.24%</v>
          </cell>
          <cell r="L86" t="str">
            <v>70.00%</v>
          </cell>
          <cell r="M86" t="str">
            <v>80.00%</v>
          </cell>
          <cell r="N86">
            <v>23</v>
          </cell>
          <cell r="O86">
            <v>23</v>
          </cell>
          <cell r="P86">
            <v>22</v>
          </cell>
          <cell r="Q86">
            <v>209</v>
          </cell>
          <cell r="R86">
            <v>277</v>
          </cell>
          <cell r="S86">
            <v>1</v>
          </cell>
          <cell r="T86">
            <v>1</v>
          </cell>
          <cell r="U86">
            <v>25</v>
          </cell>
          <cell r="V86">
            <v>1</v>
          </cell>
          <cell r="W86">
            <v>28</v>
          </cell>
        </row>
        <row r="87">
          <cell r="A87">
            <v>45839</v>
          </cell>
          <cell r="B87">
            <v>10035</v>
          </cell>
          <cell r="C87">
            <v>50</v>
          </cell>
          <cell r="D87" t="str">
            <v>470702.25 A 941404.50</v>
          </cell>
          <cell r="E87">
            <v>2500</v>
          </cell>
          <cell r="F87">
            <v>200</v>
          </cell>
          <cell r="G87">
            <v>180</v>
          </cell>
          <cell r="H87">
            <v>45286</v>
          </cell>
          <cell r="I87">
            <v>45883</v>
          </cell>
          <cell r="J87">
            <v>45880</v>
          </cell>
          <cell r="K87" t="str">
            <v>81.22%</v>
          </cell>
          <cell r="L87" t="str">
            <v>81.10%</v>
          </cell>
          <cell r="M87" t="str">
            <v>87.01%</v>
          </cell>
          <cell r="N87">
            <v>20</v>
          </cell>
          <cell r="O87">
            <v>18</v>
          </cell>
          <cell r="P87">
            <v>18</v>
          </cell>
          <cell r="Q87">
            <v>167</v>
          </cell>
          <cell r="R87">
            <v>223</v>
          </cell>
          <cell r="S87">
            <v>1</v>
          </cell>
          <cell r="T87">
            <v>1</v>
          </cell>
          <cell r="U87">
            <v>18</v>
          </cell>
          <cell r="V87">
            <v>1</v>
          </cell>
          <cell r="W87">
            <v>21</v>
          </cell>
        </row>
        <row r="88">
          <cell r="A88">
            <v>45839</v>
          </cell>
          <cell r="B88">
            <v>10036</v>
          </cell>
          <cell r="C88">
            <v>50</v>
          </cell>
          <cell r="D88" t="str">
            <v>229183.02 A 416696.40</v>
          </cell>
          <cell r="E88">
            <v>2500</v>
          </cell>
          <cell r="F88">
            <v>200</v>
          </cell>
          <cell r="G88">
            <v>183</v>
          </cell>
          <cell r="H88">
            <v>45369</v>
          </cell>
          <cell r="I88">
            <v>45883</v>
          </cell>
          <cell r="J88">
            <v>45880</v>
          </cell>
          <cell r="K88" t="str">
            <v>75.19%</v>
          </cell>
          <cell r="L88" t="str">
            <v>76.00%</v>
          </cell>
          <cell r="M88" t="str">
            <v>78.05%</v>
          </cell>
          <cell r="N88">
            <v>17</v>
          </cell>
          <cell r="O88">
            <v>18</v>
          </cell>
          <cell r="P88">
            <v>17</v>
          </cell>
          <cell r="Q88">
            <v>102</v>
          </cell>
          <cell r="R88">
            <v>154</v>
          </cell>
          <cell r="S88">
            <v>1</v>
          </cell>
          <cell r="T88">
            <v>1</v>
          </cell>
          <cell r="U88">
            <v>17</v>
          </cell>
          <cell r="V88">
            <v>1</v>
          </cell>
          <cell r="W88">
            <v>20</v>
          </cell>
        </row>
        <row r="89">
          <cell r="A89">
            <v>45839</v>
          </cell>
          <cell r="B89">
            <v>10037</v>
          </cell>
          <cell r="C89">
            <v>50</v>
          </cell>
          <cell r="D89" t="str">
            <v>104866.50 A 209733.00</v>
          </cell>
          <cell r="E89">
            <v>2500</v>
          </cell>
          <cell r="F89">
            <v>200</v>
          </cell>
          <cell r="G89">
            <v>184</v>
          </cell>
          <cell r="H89">
            <v>45398</v>
          </cell>
          <cell r="I89">
            <v>45883</v>
          </cell>
          <cell r="J89">
            <v>45880</v>
          </cell>
          <cell r="K89" t="str">
            <v>75.55%</v>
          </cell>
          <cell r="L89" t="str">
            <v>70.49%</v>
          </cell>
          <cell r="M89" t="str">
            <v>80.00%</v>
          </cell>
          <cell r="N89">
            <v>15</v>
          </cell>
          <cell r="O89">
            <v>17</v>
          </cell>
          <cell r="P89">
            <v>16</v>
          </cell>
          <cell r="Q89">
            <v>112</v>
          </cell>
          <cell r="R89">
            <v>160</v>
          </cell>
          <cell r="S89">
            <v>1</v>
          </cell>
          <cell r="T89">
            <v>1</v>
          </cell>
          <cell r="U89">
            <v>21</v>
          </cell>
          <cell r="V89">
            <v>1</v>
          </cell>
          <cell r="W89">
            <v>24</v>
          </cell>
        </row>
        <row r="90">
          <cell r="A90">
            <v>45839</v>
          </cell>
          <cell r="B90">
            <v>10038</v>
          </cell>
          <cell r="C90">
            <v>0</v>
          </cell>
          <cell r="D90" t="str">
            <v>105316.70 A 210633.40</v>
          </cell>
          <cell r="E90">
            <v>2500</v>
          </cell>
          <cell r="F90">
            <v>200</v>
          </cell>
          <cell r="G90">
            <v>186</v>
          </cell>
          <cell r="H90">
            <v>45460</v>
          </cell>
          <cell r="I90">
            <v>45883</v>
          </cell>
          <cell r="J90">
            <v>45880</v>
          </cell>
          <cell r="K90" t="str">
            <v>81.36%</v>
          </cell>
          <cell r="L90" t="str">
            <v>61.72%</v>
          </cell>
          <cell r="M90" t="str">
            <v>86.15%</v>
          </cell>
          <cell r="N90">
            <v>14</v>
          </cell>
          <cell r="O90">
            <v>13</v>
          </cell>
          <cell r="P90">
            <v>12</v>
          </cell>
          <cell r="Q90">
            <v>25</v>
          </cell>
          <cell r="R90">
            <v>64</v>
          </cell>
          <cell r="S90">
            <v>1</v>
          </cell>
          <cell r="T90">
            <v>0</v>
          </cell>
          <cell r="U90">
            <v>4</v>
          </cell>
          <cell r="V90">
            <v>1</v>
          </cell>
          <cell r="W90">
            <v>6</v>
          </cell>
        </row>
        <row r="91">
          <cell r="A91">
            <v>45839</v>
          </cell>
          <cell r="B91">
            <v>10039</v>
          </cell>
          <cell r="C91">
            <v>50</v>
          </cell>
          <cell r="D91" t="str">
            <v>105180.43 A 210360.86</v>
          </cell>
          <cell r="E91">
            <v>2500</v>
          </cell>
          <cell r="F91">
            <v>200</v>
          </cell>
          <cell r="G91">
            <v>188</v>
          </cell>
          <cell r="H91">
            <v>45525</v>
          </cell>
          <cell r="I91">
            <v>45883</v>
          </cell>
          <cell r="J91">
            <v>45880</v>
          </cell>
          <cell r="K91" t="str">
            <v>75.24%</v>
          </cell>
          <cell r="L91" t="str">
            <v>72.55%</v>
          </cell>
          <cell r="M91" t="str">
            <v>75.00%</v>
          </cell>
          <cell r="N91">
            <v>12</v>
          </cell>
          <cell r="O91">
            <v>12</v>
          </cell>
          <cell r="P91">
            <v>11</v>
          </cell>
          <cell r="Q91">
            <v>71</v>
          </cell>
          <cell r="R91">
            <v>106</v>
          </cell>
          <cell r="S91">
            <v>1</v>
          </cell>
          <cell r="T91">
            <v>1</v>
          </cell>
          <cell r="U91">
            <v>9</v>
          </cell>
          <cell r="V91">
            <v>1</v>
          </cell>
          <cell r="W91">
            <v>12</v>
          </cell>
        </row>
        <row r="92">
          <cell r="A92">
            <v>45839</v>
          </cell>
          <cell r="B92">
            <v>10040</v>
          </cell>
          <cell r="C92">
            <v>50</v>
          </cell>
          <cell r="D92" t="str">
            <v>450000.00 A 900000.00</v>
          </cell>
          <cell r="E92">
            <v>2500</v>
          </cell>
          <cell r="F92">
            <v>200</v>
          </cell>
          <cell r="G92">
            <v>189</v>
          </cell>
          <cell r="H92">
            <v>45551</v>
          </cell>
          <cell r="I92">
            <v>45883</v>
          </cell>
          <cell r="J92">
            <v>45880</v>
          </cell>
          <cell r="K92" t="str">
            <v>83.17%</v>
          </cell>
          <cell r="L92" t="str">
            <v>82.00%</v>
          </cell>
          <cell r="M92" t="str">
            <v>85.00%</v>
          </cell>
          <cell r="N92">
            <v>11</v>
          </cell>
          <cell r="O92">
            <v>11</v>
          </cell>
          <cell r="P92">
            <v>11</v>
          </cell>
          <cell r="Q92">
            <v>44</v>
          </cell>
          <cell r="R92">
            <v>77</v>
          </cell>
          <cell r="S92">
            <v>1</v>
          </cell>
          <cell r="T92">
            <v>1</v>
          </cell>
          <cell r="U92">
            <v>11</v>
          </cell>
          <cell r="V92">
            <v>1</v>
          </cell>
          <cell r="W92">
            <v>14</v>
          </cell>
        </row>
        <row r="93">
          <cell r="A93">
            <v>45839</v>
          </cell>
          <cell r="B93">
            <v>10041</v>
          </cell>
          <cell r="C93">
            <v>50</v>
          </cell>
          <cell r="D93" t="str">
            <v>220000.00 A 400000.00</v>
          </cell>
          <cell r="E93">
            <v>2500</v>
          </cell>
          <cell r="F93">
            <v>200</v>
          </cell>
          <cell r="G93">
            <v>190</v>
          </cell>
          <cell r="H93">
            <v>45581</v>
          </cell>
          <cell r="I93">
            <v>45883</v>
          </cell>
          <cell r="J93">
            <v>45880</v>
          </cell>
          <cell r="K93" t="str">
            <v>84.09%</v>
          </cell>
          <cell r="L93" t="str">
            <v>75.00%</v>
          </cell>
          <cell r="M93" t="str">
            <v>86.00%</v>
          </cell>
          <cell r="N93">
            <v>10</v>
          </cell>
          <cell r="O93">
            <v>9</v>
          </cell>
          <cell r="P93">
            <v>6</v>
          </cell>
          <cell r="Q93">
            <v>17</v>
          </cell>
          <cell r="R93">
            <v>42</v>
          </cell>
          <cell r="S93">
            <v>1</v>
          </cell>
          <cell r="T93">
            <v>1</v>
          </cell>
          <cell r="U93">
            <v>7</v>
          </cell>
          <cell r="V93">
            <v>1</v>
          </cell>
          <cell r="W93">
            <v>10</v>
          </cell>
        </row>
        <row r="94">
          <cell r="A94">
            <v>45839</v>
          </cell>
          <cell r="B94">
            <v>10042</v>
          </cell>
          <cell r="C94">
            <v>0</v>
          </cell>
          <cell r="D94" t="str">
            <v>100000.00 A 200000.00</v>
          </cell>
          <cell r="E94">
            <v>2500</v>
          </cell>
          <cell r="F94">
            <v>240</v>
          </cell>
          <cell r="G94">
            <v>232</v>
          </cell>
          <cell r="H94">
            <v>45642</v>
          </cell>
          <cell r="I94">
            <v>45883</v>
          </cell>
          <cell r="J94">
            <v>45880</v>
          </cell>
          <cell r="K94" t="str">
            <v>68.42%</v>
          </cell>
          <cell r="L94" t="str">
            <v>60.00%</v>
          </cell>
          <cell r="M94" t="str">
            <v>72.50%</v>
          </cell>
          <cell r="N94">
            <v>8</v>
          </cell>
          <cell r="O94">
            <v>8</v>
          </cell>
          <cell r="P94">
            <v>7</v>
          </cell>
          <cell r="Q94">
            <v>48</v>
          </cell>
          <cell r="R94">
            <v>71</v>
          </cell>
          <cell r="S94">
            <v>1</v>
          </cell>
          <cell r="T94">
            <v>1</v>
          </cell>
          <cell r="U94">
            <v>9</v>
          </cell>
          <cell r="V94">
            <v>1</v>
          </cell>
          <cell r="W94">
            <v>12</v>
          </cell>
        </row>
        <row r="95">
          <cell r="A95">
            <v>45839</v>
          </cell>
          <cell r="B95">
            <v>10043</v>
          </cell>
          <cell r="C95">
            <v>0</v>
          </cell>
          <cell r="D95" t="str">
            <v>45000.00 A 90000.00</v>
          </cell>
          <cell r="E95">
            <v>2500</v>
          </cell>
          <cell r="F95">
            <v>200</v>
          </cell>
          <cell r="G95">
            <v>192</v>
          </cell>
          <cell r="H95">
            <v>45642</v>
          </cell>
          <cell r="I95">
            <v>45883</v>
          </cell>
          <cell r="J95">
            <v>45880</v>
          </cell>
          <cell r="K95" t="str">
            <v>65.54%</v>
          </cell>
          <cell r="L95" t="str">
            <v>64.00%</v>
          </cell>
          <cell r="M95" t="str">
            <v>68.00%</v>
          </cell>
          <cell r="N95">
            <v>8</v>
          </cell>
          <cell r="O95">
            <v>7</v>
          </cell>
          <cell r="P95">
            <v>7</v>
          </cell>
          <cell r="Q95">
            <v>22</v>
          </cell>
          <cell r="R95">
            <v>44</v>
          </cell>
          <cell r="S95">
            <v>1</v>
          </cell>
          <cell r="T95">
            <v>1</v>
          </cell>
          <cell r="U95">
            <v>5</v>
          </cell>
          <cell r="V95">
            <v>1</v>
          </cell>
          <cell r="W95">
            <v>8</v>
          </cell>
        </row>
        <row r="96">
          <cell r="A96">
            <v>45839</v>
          </cell>
          <cell r="B96">
            <v>10044</v>
          </cell>
          <cell r="C96">
            <v>0</v>
          </cell>
          <cell r="D96" t="str">
            <v>100000.00 A 200000.00</v>
          </cell>
          <cell r="E96">
            <v>2500</v>
          </cell>
          <cell r="F96">
            <v>200</v>
          </cell>
          <cell r="G96">
            <v>192</v>
          </cell>
          <cell r="H96">
            <v>45642</v>
          </cell>
          <cell r="I96">
            <v>45883</v>
          </cell>
          <cell r="J96">
            <v>45880</v>
          </cell>
          <cell r="K96" t="str">
            <v>72.09%</v>
          </cell>
          <cell r="L96" t="str">
            <v>63.00%</v>
          </cell>
          <cell r="M96" t="str">
            <v>85.00%</v>
          </cell>
          <cell r="N96">
            <v>8</v>
          </cell>
          <cell r="O96">
            <v>6</v>
          </cell>
          <cell r="P96">
            <v>8</v>
          </cell>
          <cell r="Q96">
            <v>17</v>
          </cell>
          <cell r="R96">
            <v>39</v>
          </cell>
          <cell r="S96">
            <v>1</v>
          </cell>
          <cell r="T96">
            <v>1</v>
          </cell>
          <cell r="U96">
            <v>5</v>
          </cell>
          <cell r="V96">
            <v>1</v>
          </cell>
          <cell r="W96">
            <v>8</v>
          </cell>
        </row>
        <row r="97">
          <cell r="A97">
            <v>45839</v>
          </cell>
          <cell r="B97">
            <v>10045</v>
          </cell>
          <cell r="C97">
            <v>0</v>
          </cell>
          <cell r="D97" t="str">
            <v>200000.00 A 400000.00</v>
          </cell>
          <cell r="E97">
            <v>2500</v>
          </cell>
          <cell r="F97">
            <v>200</v>
          </cell>
          <cell r="G97">
            <v>192</v>
          </cell>
          <cell r="H97">
            <v>45642</v>
          </cell>
          <cell r="I97">
            <v>45883</v>
          </cell>
          <cell r="J97">
            <v>45880</v>
          </cell>
          <cell r="K97" t="str">
            <v>78.52%</v>
          </cell>
          <cell r="L97" t="str">
            <v>77.50%</v>
          </cell>
          <cell r="M97" t="str">
            <v>80.00%</v>
          </cell>
          <cell r="N97">
            <v>8</v>
          </cell>
          <cell r="O97">
            <v>7</v>
          </cell>
          <cell r="P97">
            <v>5</v>
          </cell>
          <cell r="Q97">
            <v>9</v>
          </cell>
          <cell r="R97">
            <v>29</v>
          </cell>
          <cell r="S97">
            <v>1</v>
          </cell>
          <cell r="T97">
            <v>1</v>
          </cell>
          <cell r="U97">
            <v>3</v>
          </cell>
          <cell r="V97">
            <v>1</v>
          </cell>
          <cell r="W97">
            <v>6</v>
          </cell>
        </row>
        <row r="98">
          <cell r="A98">
            <v>45839</v>
          </cell>
          <cell r="B98">
            <v>10046</v>
          </cell>
          <cell r="C98">
            <v>50</v>
          </cell>
          <cell r="D98" t="str">
            <v>100000.00 A 200000.00</v>
          </cell>
          <cell r="E98">
            <v>2500</v>
          </cell>
          <cell r="F98">
            <v>200</v>
          </cell>
          <cell r="G98">
            <v>192</v>
          </cell>
          <cell r="H98">
            <v>45642</v>
          </cell>
          <cell r="I98">
            <v>45883</v>
          </cell>
          <cell r="J98">
            <v>45880</v>
          </cell>
          <cell r="K98" t="str">
            <v>77.03%</v>
          </cell>
          <cell r="L98" t="str">
            <v>76.80%</v>
          </cell>
          <cell r="M98" t="str">
            <v>78.00%</v>
          </cell>
          <cell r="N98">
            <v>8</v>
          </cell>
          <cell r="O98">
            <v>8</v>
          </cell>
          <cell r="P98">
            <v>8</v>
          </cell>
          <cell r="Q98">
            <v>42</v>
          </cell>
          <cell r="R98">
            <v>66</v>
          </cell>
          <cell r="S98">
            <v>1</v>
          </cell>
          <cell r="T98">
            <v>1</v>
          </cell>
          <cell r="U98">
            <v>7</v>
          </cell>
          <cell r="V98">
            <v>1</v>
          </cell>
          <cell r="W98">
            <v>10</v>
          </cell>
        </row>
        <row r="99">
          <cell r="A99">
            <v>45839</v>
          </cell>
          <cell r="B99">
            <v>10047</v>
          </cell>
          <cell r="C99">
            <v>50</v>
          </cell>
          <cell r="D99" t="str">
            <v>200000.00 A 400000.00</v>
          </cell>
          <cell r="E99">
            <v>2500</v>
          </cell>
          <cell r="F99">
            <v>200</v>
          </cell>
          <cell r="G99">
            <v>192</v>
          </cell>
          <cell r="H99">
            <v>45642</v>
          </cell>
          <cell r="I99">
            <v>45883</v>
          </cell>
          <cell r="J99">
            <v>45880</v>
          </cell>
          <cell r="K99" t="str">
            <v>78.09%</v>
          </cell>
          <cell r="L99" t="str">
            <v>75.00%</v>
          </cell>
          <cell r="M99" t="str">
            <v>77.00%</v>
          </cell>
          <cell r="N99">
            <v>8</v>
          </cell>
          <cell r="O99">
            <v>7</v>
          </cell>
          <cell r="P99">
            <v>8</v>
          </cell>
          <cell r="Q99">
            <v>44</v>
          </cell>
          <cell r="R99">
            <v>67</v>
          </cell>
          <cell r="S99">
            <v>1</v>
          </cell>
          <cell r="T99">
            <v>1</v>
          </cell>
          <cell r="U99">
            <v>8</v>
          </cell>
          <cell r="V99">
            <v>1</v>
          </cell>
          <cell r="W99">
            <v>11</v>
          </cell>
        </row>
        <row r="100">
          <cell r="A100">
            <v>45839</v>
          </cell>
          <cell r="B100">
            <v>10048</v>
          </cell>
          <cell r="C100">
            <v>50</v>
          </cell>
          <cell r="D100" t="str">
            <v>450000.00 A 900000.00</v>
          </cell>
          <cell r="E100">
            <v>2500</v>
          </cell>
          <cell r="F100">
            <v>200</v>
          </cell>
          <cell r="G100">
            <v>192</v>
          </cell>
          <cell r="H100">
            <v>45642</v>
          </cell>
          <cell r="I100">
            <v>45883</v>
          </cell>
          <cell r="J100">
            <v>45880</v>
          </cell>
          <cell r="K100" t="str">
            <v>82.43%</v>
          </cell>
          <cell r="L100" t="str">
            <v>78.80%</v>
          </cell>
          <cell r="M100" t="str">
            <v>84.10%</v>
          </cell>
          <cell r="N100">
            <v>8</v>
          </cell>
          <cell r="O100">
            <v>8</v>
          </cell>
          <cell r="P100">
            <v>8</v>
          </cell>
          <cell r="Q100">
            <v>58</v>
          </cell>
          <cell r="R100">
            <v>82</v>
          </cell>
          <cell r="S100">
            <v>1</v>
          </cell>
          <cell r="T100">
            <v>1</v>
          </cell>
          <cell r="U100">
            <v>12</v>
          </cell>
          <cell r="V100">
            <v>1</v>
          </cell>
          <cell r="W100">
            <v>15</v>
          </cell>
        </row>
        <row r="101">
          <cell r="A101">
            <v>45839</v>
          </cell>
          <cell r="B101">
            <v>10049</v>
          </cell>
          <cell r="C101">
            <v>50</v>
          </cell>
          <cell r="D101" t="str">
            <v>100000.00 A 200000.00</v>
          </cell>
          <cell r="E101">
            <v>2500</v>
          </cell>
          <cell r="F101">
            <v>200</v>
          </cell>
          <cell r="G101">
            <v>193</v>
          </cell>
          <cell r="H101">
            <v>45673</v>
          </cell>
          <cell r="I101">
            <v>45883</v>
          </cell>
          <cell r="J101">
            <v>45880</v>
          </cell>
          <cell r="K101" t="str">
            <v>72.73%</v>
          </cell>
          <cell r="L101" t="str">
            <v>74.50%</v>
          </cell>
          <cell r="M101" t="str">
            <v>75.00%</v>
          </cell>
          <cell r="N101">
            <v>7</v>
          </cell>
          <cell r="O101">
            <v>5</v>
          </cell>
          <cell r="P101">
            <v>7</v>
          </cell>
          <cell r="Q101">
            <v>37</v>
          </cell>
          <cell r="R101">
            <v>56</v>
          </cell>
          <cell r="S101">
            <v>1</v>
          </cell>
          <cell r="T101">
            <v>1</v>
          </cell>
          <cell r="U101">
            <v>9</v>
          </cell>
          <cell r="V101">
            <v>1</v>
          </cell>
          <cell r="W101">
            <v>12</v>
          </cell>
        </row>
        <row r="102">
          <cell r="A102">
            <v>45839</v>
          </cell>
          <cell r="B102">
            <v>10050</v>
          </cell>
          <cell r="C102">
            <v>50</v>
          </cell>
          <cell r="D102" t="str">
            <v>450000.00 A 900000.00</v>
          </cell>
          <cell r="E102">
            <v>2500</v>
          </cell>
          <cell r="F102">
            <v>200</v>
          </cell>
          <cell r="G102">
            <v>195</v>
          </cell>
          <cell r="H102">
            <v>45729</v>
          </cell>
          <cell r="I102">
            <v>45883</v>
          </cell>
          <cell r="J102">
            <v>45880</v>
          </cell>
          <cell r="K102" t="str">
            <v>84.31%</v>
          </cell>
          <cell r="L102" t="str">
            <v>78.00%</v>
          </cell>
          <cell r="M102" t="str">
            <v>87.13%</v>
          </cell>
          <cell r="N102">
            <v>5</v>
          </cell>
          <cell r="O102">
            <v>5</v>
          </cell>
          <cell r="P102">
            <v>5</v>
          </cell>
          <cell r="Q102">
            <v>27</v>
          </cell>
          <cell r="R102">
            <v>42</v>
          </cell>
          <cell r="S102">
            <v>1</v>
          </cell>
          <cell r="T102">
            <v>1</v>
          </cell>
          <cell r="U102">
            <v>11</v>
          </cell>
          <cell r="V102">
            <v>1</v>
          </cell>
          <cell r="W102">
            <v>14</v>
          </cell>
        </row>
        <row r="103">
          <cell r="A103">
            <v>45839</v>
          </cell>
          <cell r="B103">
            <v>10051</v>
          </cell>
          <cell r="C103">
            <v>50</v>
          </cell>
          <cell r="D103" t="str">
            <v>100000.00 A 200000.00</v>
          </cell>
          <cell r="E103">
            <v>2500</v>
          </cell>
          <cell r="F103">
            <v>200</v>
          </cell>
          <cell r="G103">
            <v>196</v>
          </cell>
          <cell r="H103">
            <v>45763</v>
          </cell>
          <cell r="I103">
            <v>45883</v>
          </cell>
          <cell r="J103">
            <v>45880</v>
          </cell>
          <cell r="K103" t="str">
            <v>78.52%</v>
          </cell>
          <cell r="L103" t="str">
            <v>75.00%</v>
          </cell>
          <cell r="M103" t="str">
            <v>78.00%</v>
          </cell>
          <cell r="N103">
            <v>4</v>
          </cell>
          <cell r="O103">
            <v>3</v>
          </cell>
          <cell r="P103">
            <v>4</v>
          </cell>
          <cell r="Q103">
            <v>10</v>
          </cell>
          <cell r="R103">
            <v>21</v>
          </cell>
          <cell r="S103">
            <v>1</v>
          </cell>
          <cell r="T103">
            <v>1</v>
          </cell>
          <cell r="U103">
            <v>5</v>
          </cell>
          <cell r="V103">
            <v>1</v>
          </cell>
          <cell r="W103">
            <v>8</v>
          </cell>
        </row>
        <row r="104">
          <cell r="A104">
            <v>45839</v>
          </cell>
          <cell r="B104">
            <v>10052</v>
          </cell>
          <cell r="C104">
            <v>50</v>
          </cell>
          <cell r="D104" t="str">
            <v>200000.00 A 400000.00</v>
          </cell>
          <cell r="E104">
            <v>2500</v>
          </cell>
          <cell r="F104">
            <v>200</v>
          </cell>
          <cell r="G104">
            <v>197</v>
          </cell>
          <cell r="H104">
            <v>45792</v>
          </cell>
          <cell r="I104">
            <v>45883</v>
          </cell>
          <cell r="J104">
            <v>45880</v>
          </cell>
          <cell r="K104" t="str">
            <v>80.86%</v>
          </cell>
          <cell r="L104" t="str">
            <v>71.43%</v>
          </cell>
          <cell r="M104" t="str">
            <v>91.06%</v>
          </cell>
          <cell r="N104">
            <v>3</v>
          </cell>
          <cell r="O104">
            <v>3</v>
          </cell>
          <cell r="P104">
            <v>1</v>
          </cell>
          <cell r="Q104">
            <v>6</v>
          </cell>
          <cell r="R104">
            <v>13</v>
          </cell>
          <cell r="S104">
            <v>1</v>
          </cell>
          <cell r="T104">
            <v>1</v>
          </cell>
          <cell r="U104">
            <v>4</v>
          </cell>
          <cell r="V104">
            <v>1</v>
          </cell>
          <cell r="W104">
            <v>7</v>
          </cell>
        </row>
        <row r="105">
          <cell r="A105">
            <v>45870</v>
          </cell>
          <cell r="B105">
            <v>10001</v>
          </cell>
          <cell r="C105">
            <v>0</v>
          </cell>
          <cell r="D105" t="str">
            <v>58302.01 A 104943.63</v>
          </cell>
          <cell r="E105">
            <v>1000</v>
          </cell>
          <cell r="F105">
            <v>200</v>
          </cell>
          <cell r="G105">
            <v>154</v>
          </cell>
          <cell r="H105">
            <v>44522</v>
          </cell>
          <cell r="I105">
            <v>45916</v>
          </cell>
          <cell r="J105">
            <v>45910</v>
          </cell>
          <cell r="K105" t="str">
            <v>71.73%</v>
          </cell>
          <cell r="L105" t="str">
            <v>66.55%</v>
          </cell>
          <cell r="M105" t="str">
            <v>71.91%</v>
          </cell>
          <cell r="N105">
            <v>45</v>
          </cell>
          <cell r="O105">
            <v>78</v>
          </cell>
          <cell r="P105">
            <v>32</v>
          </cell>
          <cell r="Q105">
            <v>113</v>
          </cell>
          <cell r="R105">
            <v>268</v>
          </cell>
          <cell r="S105">
            <v>1</v>
          </cell>
          <cell r="T105">
            <v>1</v>
          </cell>
          <cell r="U105">
            <v>9</v>
          </cell>
          <cell r="V105">
            <v>1</v>
          </cell>
          <cell r="W105">
            <v>12</v>
          </cell>
        </row>
        <row r="106">
          <cell r="A106">
            <v>45870</v>
          </cell>
          <cell r="B106">
            <v>10002</v>
          </cell>
          <cell r="C106">
            <v>0</v>
          </cell>
          <cell r="D106" t="str">
            <v>114331.18 A 228662.37</v>
          </cell>
          <cell r="E106">
            <v>1000</v>
          </cell>
          <cell r="F106">
            <v>200</v>
          </cell>
          <cell r="G106">
            <v>158</v>
          </cell>
          <cell r="H106">
            <v>44641</v>
          </cell>
          <cell r="I106">
            <v>45916</v>
          </cell>
          <cell r="J106">
            <v>45910</v>
          </cell>
          <cell r="K106" t="str">
            <v>65.55%</v>
          </cell>
          <cell r="L106" t="str">
            <v>63.00%</v>
          </cell>
          <cell r="M106" t="str">
            <v>66.50%</v>
          </cell>
          <cell r="N106">
            <v>41</v>
          </cell>
          <cell r="O106">
            <v>58</v>
          </cell>
          <cell r="P106">
            <v>36</v>
          </cell>
          <cell r="Q106">
            <v>130</v>
          </cell>
          <cell r="R106">
            <v>265</v>
          </cell>
          <cell r="S106">
            <v>1</v>
          </cell>
          <cell r="T106">
            <v>1</v>
          </cell>
          <cell r="U106">
            <v>10</v>
          </cell>
          <cell r="V106">
            <v>1</v>
          </cell>
          <cell r="W106">
            <v>13</v>
          </cell>
        </row>
        <row r="107">
          <cell r="A107">
            <v>45870</v>
          </cell>
          <cell r="B107">
            <v>10003</v>
          </cell>
          <cell r="C107">
            <v>0</v>
          </cell>
          <cell r="D107" t="str">
            <v>251528.60 A 457324.74</v>
          </cell>
          <cell r="E107">
            <v>1000</v>
          </cell>
          <cell r="F107">
            <v>200</v>
          </cell>
          <cell r="G107">
            <v>158</v>
          </cell>
          <cell r="H107">
            <v>44641</v>
          </cell>
          <cell r="I107">
            <v>45916</v>
          </cell>
          <cell r="J107">
            <v>45910</v>
          </cell>
          <cell r="K107" t="str">
            <v>66.43%</v>
          </cell>
          <cell r="L107" t="str">
            <v>61.00%</v>
          </cell>
          <cell r="M107" t="str">
            <v>76.00%</v>
          </cell>
          <cell r="N107">
            <v>38</v>
          </cell>
          <cell r="O107">
            <v>131</v>
          </cell>
          <cell r="P107">
            <v>30</v>
          </cell>
          <cell r="Q107">
            <v>134</v>
          </cell>
          <cell r="R107">
            <v>333</v>
          </cell>
          <cell r="S107">
            <v>1</v>
          </cell>
          <cell r="T107">
            <v>1</v>
          </cell>
          <cell r="U107">
            <v>10</v>
          </cell>
          <cell r="V107">
            <v>1</v>
          </cell>
          <cell r="W107">
            <v>13</v>
          </cell>
        </row>
        <row r="108">
          <cell r="A108">
            <v>45870</v>
          </cell>
          <cell r="B108">
            <v>10004</v>
          </cell>
          <cell r="C108">
            <v>50</v>
          </cell>
          <cell r="D108" t="str">
            <v>116604.03 A 233208.05</v>
          </cell>
          <cell r="E108">
            <v>1000</v>
          </cell>
          <cell r="F108">
            <v>200</v>
          </cell>
          <cell r="G108">
            <v>154</v>
          </cell>
          <cell r="H108">
            <v>44518</v>
          </cell>
          <cell r="I108">
            <v>45916</v>
          </cell>
          <cell r="J108">
            <v>45910</v>
          </cell>
          <cell r="K108" t="str">
            <v>70.85%</v>
          </cell>
          <cell r="L108" t="str">
            <v>69.00%</v>
          </cell>
          <cell r="M108" t="str">
            <v>72.57%</v>
          </cell>
          <cell r="N108">
            <v>45</v>
          </cell>
          <cell r="O108">
            <v>52</v>
          </cell>
          <cell r="P108">
            <v>39</v>
          </cell>
          <cell r="Q108">
            <v>159</v>
          </cell>
          <cell r="R108">
            <v>295</v>
          </cell>
          <cell r="S108">
            <v>1</v>
          </cell>
          <cell r="T108">
            <v>1</v>
          </cell>
          <cell r="U108">
            <v>11</v>
          </cell>
          <cell r="V108">
            <v>1</v>
          </cell>
          <cell r="W108">
            <v>14</v>
          </cell>
        </row>
        <row r="109">
          <cell r="A109">
            <v>45870</v>
          </cell>
          <cell r="B109">
            <v>10005</v>
          </cell>
          <cell r="C109">
            <v>50</v>
          </cell>
          <cell r="D109" t="str">
            <v>256528.85 A 466416.10</v>
          </cell>
          <cell r="E109">
            <v>1000</v>
          </cell>
          <cell r="F109">
            <v>200</v>
          </cell>
          <cell r="G109">
            <v>154</v>
          </cell>
          <cell r="H109">
            <v>44518</v>
          </cell>
          <cell r="I109">
            <v>45916</v>
          </cell>
          <cell r="J109">
            <v>45910</v>
          </cell>
          <cell r="K109" t="str">
            <v>74.79%</v>
          </cell>
          <cell r="L109" t="str">
            <v>74.15%</v>
          </cell>
          <cell r="M109" t="str">
            <v>77.00%</v>
          </cell>
          <cell r="N109">
            <v>46</v>
          </cell>
          <cell r="O109">
            <v>49</v>
          </cell>
          <cell r="P109">
            <v>39</v>
          </cell>
          <cell r="Q109">
            <v>177</v>
          </cell>
          <cell r="R109">
            <v>311</v>
          </cell>
          <cell r="S109">
            <v>1</v>
          </cell>
          <cell r="T109">
            <v>1</v>
          </cell>
          <cell r="U109">
            <v>9</v>
          </cell>
          <cell r="V109">
            <v>1</v>
          </cell>
          <cell r="W109">
            <v>12</v>
          </cell>
        </row>
        <row r="110">
          <cell r="A110">
            <v>45870</v>
          </cell>
          <cell r="B110">
            <v>10006</v>
          </cell>
          <cell r="C110">
            <v>50</v>
          </cell>
          <cell r="D110" t="str">
            <v>524718.11 A 1049436.22</v>
          </cell>
          <cell r="E110">
            <v>1000</v>
          </cell>
          <cell r="F110">
            <v>200</v>
          </cell>
          <cell r="G110">
            <v>154</v>
          </cell>
          <cell r="H110">
            <v>44518</v>
          </cell>
          <cell r="I110">
            <v>45916</v>
          </cell>
          <cell r="J110">
            <v>45910</v>
          </cell>
          <cell r="K110" t="str">
            <v>73.55%</v>
          </cell>
          <cell r="L110" t="str">
            <v>71.00%</v>
          </cell>
          <cell r="M110" t="str">
            <v>76.00%</v>
          </cell>
          <cell r="N110">
            <v>44</v>
          </cell>
          <cell r="O110">
            <v>59</v>
          </cell>
          <cell r="P110">
            <v>39</v>
          </cell>
          <cell r="Q110">
            <v>214</v>
          </cell>
          <cell r="R110">
            <v>356</v>
          </cell>
          <cell r="S110">
            <v>1</v>
          </cell>
          <cell r="T110">
            <v>1</v>
          </cell>
          <cell r="U110">
            <v>12</v>
          </cell>
          <cell r="V110">
            <v>1</v>
          </cell>
          <cell r="W110">
            <v>15</v>
          </cell>
        </row>
        <row r="111">
          <cell r="A111">
            <v>45870</v>
          </cell>
          <cell r="B111">
            <v>10007</v>
          </cell>
          <cell r="C111">
            <v>50</v>
          </cell>
          <cell r="D111" t="str">
            <v>115097.19 A 230194.37</v>
          </cell>
          <cell r="E111">
            <v>1000</v>
          </cell>
          <cell r="F111">
            <v>200</v>
          </cell>
          <cell r="G111">
            <v>157</v>
          </cell>
          <cell r="H111">
            <v>44613</v>
          </cell>
          <cell r="I111">
            <v>45916</v>
          </cell>
          <cell r="J111">
            <v>45910</v>
          </cell>
          <cell r="K111" t="str">
            <v>71.52%</v>
          </cell>
          <cell r="L111" t="str">
            <v>71.63%</v>
          </cell>
          <cell r="M111" t="str">
            <v>73.00%</v>
          </cell>
          <cell r="N111">
            <v>42</v>
          </cell>
          <cell r="O111">
            <v>109</v>
          </cell>
          <cell r="P111">
            <v>35</v>
          </cell>
          <cell r="Q111">
            <v>166</v>
          </cell>
          <cell r="R111">
            <v>352</v>
          </cell>
          <cell r="S111">
            <v>1</v>
          </cell>
          <cell r="T111">
            <v>1</v>
          </cell>
          <cell r="U111">
            <v>4</v>
          </cell>
          <cell r="V111">
            <v>1</v>
          </cell>
          <cell r="W111">
            <v>7</v>
          </cell>
        </row>
        <row r="112">
          <cell r="A112">
            <v>45870</v>
          </cell>
          <cell r="B112">
            <v>10008</v>
          </cell>
          <cell r="C112">
            <v>50</v>
          </cell>
          <cell r="D112" t="str">
            <v>251528.60 A 457324.74</v>
          </cell>
          <cell r="E112">
            <v>1000</v>
          </cell>
          <cell r="F112">
            <v>200</v>
          </cell>
          <cell r="G112">
            <v>158</v>
          </cell>
          <cell r="H112">
            <v>44641</v>
          </cell>
          <cell r="I112">
            <v>45916</v>
          </cell>
          <cell r="J112">
            <v>45910</v>
          </cell>
          <cell r="K112" t="str">
            <v>74.20%</v>
          </cell>
          <cell r="L112" t="str">
            <v>73.00%</v>
          </cell>
          <cell r="M112" t="str">
            <v>79.00%</v>
          </cell>
          <cell r="N112">
            <v>41</v>
          </cell>
          <cell r="O112">
            <v>87</v>
          </cell>
          <cell r="P112">
            <v>38</v>
          </cell>
          <cell r="Q112">
            <v>161</v>
          </cell>
          <cell r="R112">
            <v>327</v>
          </cell>
          <cell r="S112">
            <v>1</v>
          </cell>
          <cell r="T112">
            <v>1</v>
          </cell>
          <cell r="U112">
            <v>9</v>
          </cell>
          <cell r="V112">
            <v>1</v>
          </cell>
          <cell r="W112">
            <v>12</v>
          </cell>
        </row>
        <row r="113">
          <cell r="A113">
            <v>45870</v>
          </cell>
          <cell r="B113">
            <v>10009</v>
          </cell>
          <cell r="C113">
            <v>50</v>
          </cell>
          <cell r="D113" t="str">
            <v>114331.18 A 228662.37</v>
          </cell>
          <cell r="E113">
            <v>1000</v>
          </cell>
          <cell r="F113">
            <v>200</v>
          </cell>
          <cell r="G113">
            <v>158</v>
          </cell>
          <cell r="H113">
            <v>44641</v>
          </cell>
          <cell r="I113">
            <v>45916</v>
          </cell>
          <cell r="J113">
            <v>45910</v>
          </cell>
          <cell r="K113" t="str">
            <v>67.90%</v>
          </cell>
          <cell r="L113" t="str">
            <v>65.73%</v>
          </cell>
          <cell r="M113" t="str">
            <v>79.00%</v>
          </cell>
          <cell r="N113">
            <v>41</v>
          </cell>
          <cell r="O113">
            <v>79</v>
          </cell>
          <cell r="P113">
            <v>37</v>
          </cell>
          <cell r="Q113">
            <v>145</v>
          </cell>
          <cell r="R113">
            <v>302</v>
          </cell>
          <cell r="S113">
            <v>1</v>
          </cell>
          <cell r="T113">
            <v>1</v>
          </cell>
          <cell r="U113">
            <v>12</v>
          </cell>
          <cell r="V113">
            <v>1</v>
          </cell>
          <cell r="W113">
            <v>15</v>
          </cell>
        </row>
        <row r="114">
          <cell r="A114">
            <v>45870</v>
          </cell>
          <cell r="B114">
            <v>10010</v>
          </cell>
          <cell r="C114">
            <v>50</v>
          </cell>
          <cell r="D114" t="str">
            <v>514490.33 A 1028980.65</v>
          </cell>
          <cell r="E114">
            <v>1000</v>
          </cell>
          <cell r="F114">
            <v>200</v>
          </cell>
          <cell r="G114">
            <v>158</v>
          </cell>
          <cell r="H114">
            <v>44641</v>
          </cell>
          <cell r="I114">
            <v>45916</v>
          </cell>
          <cell r="J114">
            <v>45910</v>
          </cell>
          <cell r="K114" t="str">
            <v>76.86%</v>
          </cell>
          <cell r="L114" t="str">
            <v>77.07%</v>
          </cell>
          <cell r="M114" t="str">
            <v>79.00%</v>
          </cell>
          <cell r="N114">
            <v>42</v>
          </cell>
          <cell r="O114">
            <v>65</v>
          </cell>
          <cell r="P114">
            <v>32</v>
          </cell>
          <cell r="Q114">
            <v>181</v>
          </cell>
          <cell r="R114">
            <v>320</v>
          </cell>
          <cell r="S114">
            <v>1</v>
          </cell>
          <cell r="T114">
            <v>1</v>
          </cell>
          <cell r="U114">
            <v>6</v>
          </cell>
          <cell r="V114">
            <v>1</v>
          </cell>
          <cell r="W114">
            <v>9</v>
          </cell>
        </row>
        <row r="115">
          <cell r="A115">
            <v>45870</v>
          </cell>
          <cell r="B115">
            <v>10011</v>
          </cell>
          <cell r="C115">
            <v>0</v>
          </cell>
          <cell r="D115" t="str">
            <v>57165.59 A 102898.06</v>
          </cell>
          <cell r="E115">
            <v>1000</v>
          </cell>
          <cell r="F115">
            <v>200</v>
          </cell>
          <cell r="G115">
            <v>158</v>
          </cell>
          <cell r="H115">
            <v>44641</v>
          </cell>
          <cell r="I115">
            <v>45916</v>
          </cell>
          <cell r="J115">
            <v>45910</v>
          </cell>
          <cell r="K115" t="str">
            <v>67.96%</v>
          </cell>
          <cell r="L115" t="str">
            <v>59.00%</v>
          </cell>
          <cell r="M115" t="str">
            <v>59.00%</v>
          </cell>
          <cell r="N115">
            <v>40</v>
          </cell>
          <cell r="O115">
            <v>43</v>
          </cell>
          <cell r="P115">
            <v>32</v>
          </cell>
          <cell r="Q115">
            <v>99</v>
          </cell>
          <cell r="R115">
            <v>214</v>
          </cell>
          <cell r="S115">
            <v>1</v>
          </cell>
          <cell r="T115">
            <v>1</v>
          </cell>
          <cell r="U115">
            <v>2</v>
          </cell>
          <cell r="V115">
            <v>1</v>
          </cell>
          <cell r="W115">
            <v>5</v>
          </cell>
        </row>
        <row r="116">
          <cell r="A116">
            <v>45870</v>
          </cell>
          <cell r="B116">
            <v>10012</v>
          </cell>
          <cell r="C116">
            <v>50</v>
          </cell>
          <cell r="D116" t="str">
            <v>248357.94 A 451559.90</v>
          </cell>
          <cell r="E116">
            <v>1000</v>
          </cell>
          <cell r="F116">
            <v>200</v>
          </cell>
          <cell r="G116">
            <v>161</v>
          </cell>
          <cell r="H116">
            <v>44732</v>
          </cell>
          <cell r="I116">
            <v>45916</v>
          </cell>
          <cell r="J116">
            <v>45910</v>
          </cell>
          <cell r="K116" t="str">
            <v>71.08%</v>
          </cell>
          <cell r="L116" t="str">
            <v>70.00%</v>
          </cell>
          <cell r="M116" t="str">
            <v>73.00%</v>
          </cell>
          <cell r="N116">
            <v>38</v>
          </cell>
          <cell r="O116">
            <v>81</v>
          </cell>
          <cell r="P116">
            <v>32</v>
          </cell>
          <cell r="Q116">
            <v>148</v>
          </cell>
          <cell r="R116">
            <v>299</v>
          </cell>
          <cell r="S116">
            <v>1</v>
          </cell>
          <cell r="T116">
            <v>1</v>
          </cell>
          <cell r="U116">
            <v>9</v>
          </cell>
          <cell r="V116">
            <v>1</v>
          </cell>
          <cell r="W116">
            <v>12</v>
          </cell>
        </row>
        <row r="117">
          <cell r="A117">
            <v>45870</v>
          </cell>
          <cell r="B117">
            <v>10013</v>
          </cell>
          <cell r="C117">
            <v>50</v>
          </cell>
          <cell r="D117" t="str">
            <v>508004.88 A 1016009.75</v>
          </cell>
          <cell r="E117">
            <v>1000</v>
          </cell>
          <cell r="F117">
            <v>200</v>
          </cell>
          <cell r="G117">
            <v>161</v>
          </cell>
          <cell r="H117">
            <v>44732</v>
          </cell>
          <cell r="I117">
            <v>45916</v>
          </cell>
          <cell r="J117">
            <v>45910</v>
          </cell>
          <cell r="K117" t="str">
            <v>76.12%</v>
          </cell>
          <cell r="L117" t="str">
            <v>75.10%</v>
          </cell>
          <cell r="M117" t="str">
            <v>78.00%</v>
          </cell>
          <cell r="N117">
            <v>37</v>
          </cell>
          <cell r="O117">
            <v>104</v>
          </cell>
          <cell r="P117">
            <v>31</v>
          </cell>
          <cell r="Q117">
            <v>157</v>
          </cell>
          <cell r="R117">
            <v>329</v>
          </cell>
          <cell r="S117">
            <v>1</v>
          </cell>
          <cell r="T117">
            <v>1</v>
          </cell>
          <cell r="U117">
            <v>15</v>
          </cell>
          <cell r="V117">
            <v>1</v>
          </cell>
          <cell r="W117">
            <v>18</v>
          </cell>
        </row>
        <row r="118">
          <cell r="A118">
            <v>45870</v>
          </cell>
          <cell r="B118">
            <v>10014</v>
          </cell>
          <cell r="C118">
            <v>50</v>
          </cell>
          <cell r="D118" t="str">
            <v>113519.11 A 227038.20</v>
          </cell>
          <cell r="E118">
            <v>1000</v>
          </cell>
          <cell r="F118">
            <v>200</v>
          </cell>
          <cell r="G118">
            <v>160</v>
          </cell>
          <cell r="H118">
            <v>44708</v>
          </cell>
          <cell r="I118">
            <v>45916</v>
          </cell>
          <cell r="J118">
            <v>45910</v>
          </cell>
          <cell r="K118" t="str">
            <v>70.57%</v>
          </cell>
          <cell r="L118" t="str">
            <v>67.00%</v>
          </cell>
          <cell r="M118" t="str">
            <v>71.21%</v>
          </cell>
          <cell r="N118">
            <v>40</v>
          </cell>
          <cell r="O118">
            <v>89</v>
          </cell>
          <cell r="P118">
            <v>34</v>
          </cell>
          <cell r="Q118">
            <v>136</v>
          </cell>
          <cell r="R118">
            <v>299</v>
          </cell>
          <cell r="S118">
            <v>1</v>
          </cell>
          <cell r="T118">
            <v>1</v>
          </cell>
          <cell r="U118">
            <v>8</v>
          </cell>
          <cell r="V118">
            <v>1</v>
          </cell>
          <cell r="W118">
            <v>11</v>
          </cell>
        </row>
        <row r="119">
          <cell r="A119">
            <v>45870</v>
          </cell>
          <cell r="B119">
            <v>10015</v>
          </cell>
          <cell r="C119">
            <v>50</v>
          </cell>
          <cell r="D119" t="str">
            <v>112777.57 A 225555.15</v>
          </cell>
          <cell r="E119">
            <v>1000</v>
          </cell>
          <cell r="F119">
            <v>200</v>
          </cell>
          <cell r="G119">
            <v>162</v>
          </cell>
          <cell r="H119">
            <v>44760</v>
          </cell>
          <cell r="I119">
            <v>45916</v>
          </cell>
          <cell r="J119">
            <v>45910</v>
          </cell>
          <cell r="K119" t="str">
            <v>70.66%</v>
          </cell>
          <cell r="L119" t="str">
            <v>68.12%</v>
          </cell>
          <cell r="M119" t="str">
            <v>73.05%</v>
          </cell>
          <cell r="N119">
            <v>38</v>
          </cell>
          <cell r="O119">
            <v>85</v>
          </cell>
          <cell r="P119">
            <v>32</v>
          </cell>
          <cell r="Q119">
            <v>124</v>
          </cell>
          <cell r="R119">
            <v>279</v>
          </cell>
          <cell r="S119">
            <v>1</v>
          </cell>
          <cell r="T119">
            <v>1</v>
          </cell>
          <cell r="U119">
            <v>9</v>
          </cell>
          <cell r="V119">
            <v>1</v>
          </cell>
          <cell r="W119">
            <v>12</v>
          </cell>
        </row>
        <row r="120">
          <cell r="A120">
            <v>45870</v>
          </cell>
          <cell r="B120">
            <v>10016</v>
          </cell>
          <cell r="C120">
            <v>0</v>
          </cell>
          <cell r="D120" t="str">
            <v>53865.77 A 96958.39</v>
          </cell>
          <cell r="E120">
            <v>1000</v>
          </cell>
          <cell r="F120">
            <v>200</v>
          </cell>
          <cell r="G120">
            <v>164</v>
          </cell>
          <cell r="H120">
            <v>44832</v>
          </cell>
          <cell r="I120">
            <v>45916</v>
          </cell>
          <cell r="J120">
            <v>45910</v>
          </cell>
          <cell r="K120" t="str">
            <v>45.01%</v>
          </cell>
          <cell r="L120" t="str">
            <v>46.00%</v>
          </cell>
          <cell r="M120" t="str">
            <v>48.27%</v>
          </cell>
          <cell r="N120">
            <v>33</v>
          </cell>
          <cell r="O120">
            <v>43</v>
          </cell>
          <cell r="P120">
            <v>26</v>
          </cell>
          <cell r="Q120">
            <v>63</v>
          </cell>
          <cell r="R120">
            <v>165</v>
          </cell>
          <cell r="S120">
            <v>1</v>
          </cell>
          <cell r="T120">
            <v>1</v>
          </cell>
          <cell r="U120">
            <v>2</v>
          </cell>
          <cell r="V120">
            <v>1</v>
          </cell>
          <cell r="W120">
            <v>5</v>
          </cell>
        </row>
        <row r="121">
          <cell r="A121">
            <v>45870</v>
          </cell>
          <cell r="B121">
            <v>10017</v>
          </cell>
          <cell r="C121">
            <v>50</v>
          </cell>
          <cell r="D121" t="str">
            <v>247149.03 A 449361.88</v>
          </cell>
          <cell r="E121">
            <v>1000</v>
          </cell>
          <cell r="F121">
            <v>200</v>
          </cell>
          <cell r="G121">
            <v>163</v>
          </cell>
          <cell r="H121">
            <v>44802</v>
          </cell>
          <cell r="I121">
            <v>45916</v>
          </cell>
          <cell r="J121">
            <v>45910</v>
          </cell>
          <cell r="K121" t="str">
            <v>76.54%</v>
          </cell>
          <cell r="L121" t="str">
            <v>76.81%</v>
          </cell>
          <cell r="M121" t="str">
            <v>81.50%</v>
          </cell>
          <cell r="N121">
            <v>37</v>
          </cell>
          <cell r="O121">
            <v>48</v>
          </cell>
          <cell r="P121">
            <v>31</v>
          </cell>
          <cell r="Q121">
            <v>129</v>
          </cell>
          <cell r="R121">
            <v>245</v>
          </cell>
          <cell r="S121">
            <v>1</v>
          </cell>
          <cell r="T121">
            <v>1</v>
          </cell>
          <cell r="U121">
            <v>6</v>
          </cell>
          <cell r="V121">
            <v>1</v>
          </cell>
          <cell r="W121">
            <v>9</v>
          </cell>
        </row>
        <row r="122">
          <cell r="A122">
            <v>45870</v>
          </cell>
          <cell r="B122">
            <v>10018</v>
          </cell>
          <cell r="C122">
            <v>50</v>
          </cell>
          <cell r="D122" t="str">
            <v>112340.47 A 224680.93</v>
          </cell>
          <cell r="E122">
            <v>1000</v>
          </cell>
          <cell r="F122">
            <v>200</v>
          </cell>
          <cell r="G122">
            <v>163</v>
          </cell>
          <cell r="H122">
            <v>44802</v>
          </cell>
          <cell r="I122">
            <v>45916</v>
          </cell>
          <cell r="J122">
            <v>45910</v>
          </cell>
          <cell r="K122" t="str">
            <v>71.87%</v>
          </cell>
          <cell r="L122" t="str">
            <v>70.75%</v>
          </cell>
          <cell r="M122" t="str">
            <v>77.44%</v>
          </cell>
          <cell r="N122">
            <v>36</v>
          </cell>
          <cell r="O122">
            <v>54</v>
          </cell>
          <cell r="P122">
            <v>32</v>
          </cell>
          <cell r="Q122">
            <v>108</v>
          </cell>
          <cell r="R122">
            <v>230</v>
          </cell>
          <cell r="S122">
            <v>1</v>
          </cell>
          <cell r="T122">
            <v>1</v>
          </cell>
          <cell r="U122">
            <v>12</v>
          </cell>
          <cell r="V122">
            <v>1</v>
          </cell>
          <cell r="W122">
            <v>15</v>
          </cell>
        </row>
        <row r="123">
          <cell r="A123">
            <v>45870</v>
          </cell>
          <cell r="B123">
            <v>10019</v>
          </cell>
          <cell r="C123">
            <v>0</v>
          </cell>
          <cell r="D123" t="str">
            <v>107731.54 A 215463.09</v>
          </cell>
          <cell r="E123">
            <v>1000</v>
          </cell>
          <cell r="F123">
            <v>200</v>
          </cell>
          <cell r="G123">
            <v>164</v>
          </cell>
          <cell r="H123">
            <v>44832</v>
          </cell>
          <cell r="I123">
            <v>45916</v>
          </cell>
          <cell r="J123">
            <v>45910</v>
          </cell>
          <cell r="K123" t="str">
            <v>57.12%</v>
          </cell>
          <cell r="L123" t="str">
            <v>56.50%</v>
          </cell>
          <cell r="M123" t="str">
            <v>62.00%</v>
          </cell>
          <cell r="N123">
            <v>35</v>
          </cell>
          <cell r="O123">
            <v>42</v>
          </cell>
          <cell r="P123">
            <v>26</v>
          </cell>
          <cell r="Q123">
            <v>81</v>
          </cell>
          <cell r="R123">
            <v>184</v>
          </cell>
          <cell r="S123">
            <v>1</v>
          </cell>
          <cell r="T123">
            <v>1</v>
          </cell>
          <cell r="U123">
            <v>6</v>
          </cell>
          <cell r="V123">
            <v>1</v>
          </cell>
          <cell r="W123">
            <v>9</v>
          </cell>
        </row>
        <row r="124">
          <cell r="A124">
            <v>45870</v>
          </cell>
          <cell r="B124">
            <v>10020</v>
          </cell>
          <cell r="C124">
            <v>50</v>
          </cell>
          <cell r="D124" t="str">
            <v>484791.95 A 969583.90</v>
          </cell>
          <cell r="E124">
            <v>1000</v>
          </cell>
          <cell r="F124">
            <v>200</v>
          </cell>
          <cell r="G124">
            <v>164</v>
          </cell>
          <cell r="H124">
            <v>44832</v>
          </cell>
          <cell r="I124">
            <v>45916</v>
          </cell>
          <cell r="J124">
            <v>45910</v>
          </cell>
          <cell r="K124" t="str">
            <v>75.26%</v>
          </cell>
          <cell r="L124" t="str">
            <v>75.00%</v>
          </cell>
          <cell r="M124" t="str">
            <v>76.44%</v>
          </cell>
          <cell r="N124">
            <v>36</v>
          </cell>
          <cell r="O124">
            <v>32</v>
          </cell>
          <cell r="P124">
            <v>30</v>
          </cell>
          <cell r="Q124">
            <v>119</v>
          </cell>
          <cell r="R124">
            <v>217</v>
          </cell>
          <cell r="S124">
            <v>1</v>
          </cell>
          <cell r="T124">
            <v>1</v>
          </cell>
          <cell r="U124">
            <v>9</v>
          </cell>
          <cell r="V124">
            <v>1</v>
          </cell>
          <cell r="W124">
            <v>12</v>
          </cell>
        </row>
        <row r="125">
          <cell r="A125">
            <v>45870</v>
          </cell>
          <cell r="B125">
            <v>10021</v>
          </cell>
          <cell r="C125">
            <v>50</v>
          </cell>
          <cell r="D125" t="str">
            <v>107731.54 A 215463.09</v>
          </cell>
          <cell r="E125">
            <v>2500</v>
          </cell>
          <cell r="F125">
            <v>200</v>
          </cell>
          <cell r="G125">
            <v>164</v>
          </cell>
          <cell r="H125">
            <v>44832</v>
          </cell>
          <cell r="I125">
            <v>45916</v>
          </cell>
          <cell r="J125">
            <v>45910</v>
          </cell>
          <cell r="K125" t="str">
            <v>73.96%</v>
          </cell>
          <cell r="L125" t="str">
            <v>68.00%</v>
          </cell>
          <cell r="M125" t="str">
            <v>80.00%</v>
          </cell>
          <cell r="N125">
            <v>35</v>
          </cell>
          <cell r="O125">
            <v>43</v>
          </cell>
          <cell r="P125">
            <v>33</v>
          </cell>
          <cell r="Q125">
            <v>436</v>
          </cell>
          <cell r="R125">
            <v>547</v>
          </cell>
          <cell r="S125">
            <v>1</v>
          </cell>
          <cell r="T125">
            <v>1</v>
          </cell>
          <cell r="U125">
            <v>27</v>
          </cell>
          <cell r="V125">
            <v>1</v>
          </cell>
          <cell r="W125">
            <v>30</v>
          </cell>
        </row>
        <row r="126">
          <cell r="A126">
            <v>45870</v>
          </cell>
          <cell r="B126">
            <v>10023</v>
          </cell>
          <cell r="C126">
            <v>50</v>
          </cell>
          <cell r="D126" t="str">
            <v>237009.40 A 430926.18</v>
          </cell>
          <cell r="E126">
            <v>2500</v>
          </cell>
          <cell r="F126">
            <v>200</v>
          </cell>
          <cell r="G126">
            <v>164</v>
          </cell>
          <cell r="H126">
            <v>44832</v>
          </cell>
          <cell r="I126">
            <v>45916</v>
          </cell>
          <cell r="J126">
            <v>45910</v>
          </cell>
          <cell r="K126" t="str">
            <v>80.65%</v>
          </cell>
          <cell r="L126" t="str">
            <v>76.11%</v>
          </cell>
          <cell r="M126" t="str">
            <v>82.00%</v>
          </cell>
          <cell r="N126">
            <v>35</v>
          </cell>
          <cell r="O126">
            <v>35</v>
          </cell>
          <cell r="P126">
            <v>34</v>
          </cell>
          <cell r="Q126">
            <v>462</v>
          </cell>
          <cell r="R126">
            <v>566</v>
          </cell>
          <cell r="S126">
            <v>1</v>
          </cell>
          <cell r="T126">
            <v>1</v>
          </cell>
          <cell r="U126">
            <v>29</v>
          </cell>
          <cell r="V126">
            <v>1</v>
          </cell>
          <cell r="W126">
            <v>32</v>
          </cell>
        </row>
        <row r="127">
          <cell r="A127">
            <v>45870</v>
          </cell>
          <cell r="B127">
            <v>10024</v>
          </cell>
          <cell r="C127">
            <v>50</v>
          </cell>
          <cell r="D127" t="str">
            <v>108878.64 A 217757.28</v>
          </cell>
          <cell r="E127">
            <v>2500</v>
          </cell>
          <cell r="F127">
            <v>200</v>
          </cell>
          <cell r="G127">
            <v>168</v>
          </cell>
          <cell r="H127">
            <v>44942</v>
          </cell>
          <cell r="I127">
            <v>45916</v>
          </cell>
          <cell r="J127">
            <v>45910</v>
          </cell>
          <cell r="K127" t="str">
            <v>80.89%</v>
          </cell>
          <cell r="L127" t="str">
            <v>80.15%</v>
          </cell>
          <cell r="M127" t="str">
            <v>84.00%</v>
          </cell>
          <cell r="N127">
            <v>31</v>
          </cell>
          <cell r="O127">
            <v>32</v>
          </cell>
          <cell r="P127">
            <v>30</v>
          </cell>
          <cell r="Q127">
            <v>327</v>
          </cell>
          <cell r="R127">
            <v>420</v>
          </cell>
          <cell r="S127">
            <v>1</v>
          </cell>
          <cell r="T127">
            <v>1</v>
          </cell>
          <cell r="U127">
            <v>23</v>
          </cell>
          <cell r="V127">
            <v>1</v>
          </cell>
          <cell r="W127">
            <v>26</v>
          </cell>
        </row>
        <row r="128">
          <cell r="A128">
            <v>45870</v>
          </cell>
          <cell r="B128">
            <v>10025</v>
          </cell>
          <cell r="C128">
            <v>50</v>
          </cell>
          <cell r="D128" t="str">
            <v>108721.27 A 217442.55</v>
          </cell>
          <cell r="E128">
            <v>2500</v>
          </cell>
          <cell r="F128">
            <v>200</v>
          </cell>
          <cell r="G128">
            <v>173</v>
          </cell>
          <cell r="H128">
            <v>45100</v>
          </cell>
          <cell r="I128">
            <v>45916</v>
          </cell>
          <cell r="J128">
            <v>45910</v>
          </cell>
          <cell r="K128" t="str">
            <v>77.98%</v>
          </cell>
          <cell r="L128" t="str">
            <v>78.13%</v>
          </cell>
          <cell r="M128" t="str">
            <v>82.00%</v>
          </cell>
          <cell r="N128">
            <v>27</v>
          </cell>
          <cell r="O128">
            <v>28</v>
          </cell>
          <cell r="P128">
            <v>27</v>
          </cell>
          <cell r="Q128">
            <v>300</v>
          </cell>
          <cell r="R128">
            <v>382</v>
          </cell>
          <cell r="S128">
            <v>1</v>
          </cell>
          <cell r="T128">
            <v>1</v>
          </cell>
          <cell r="U128">
            <v>25</v>
          </cell>
          <cell r="V128">
            <v>1</v>
          </cell>
          <cell r="W128">
            <v>28</v>
          </cell>
        </row>
        <row r="129">
          <cell r="A129">
            <v>45870</v>
          </cell>
          <cell r="B129">
            <v>10026</v>
          </cell>
          <cell r="C129">
            <v>0</v>
          </cell>
          <cell r="D129" t="str">
            <v>237413.50 A 431660.90</v>
          </cell>
          <cell r="E129">
            <v>2500</v>
          </cell>
          <cell r="F129">
            <v>200</v>
          </cell>
          <cell r="G129">
            <v>165</v>
          </cell>
          <cell r="H129">
            <v>44858</v>
          </cell>
          <cell r="I129">
            <v>45916</v>
          </cell>
          <cell r="J129">
            <v>45910</v>
          </cell>
          <cell r="K129" t="str">
            <v>70.68%</v>
          </cell>
          <cell r="L129" t="str">
            <v>69.50%</v>
          </cell>
          <cell r="M129" t="str">
            <v>80.00%</v>
          </cell>
          <cell r="N129">
            <v>35</v>
          </cell>
          <cell r="O129">
            <v>35</v>
          </cell>
          <cell r="P129">
            <v>28</v>
          </cell>
          <cell r="Q129">
            <v>232</v>
          </cell>
          <cell r="R129">
            <v>330</v>
          </cell>
          <cell r="S129">
            <v>1</v>
          </cell>
          <cell r="T129">
            <v>1</v>
          </cell>
          <cell r="U129">
            <v>24</v>
          </cell>
          <cell r="V129">
            <v>1</v>
          </cell>
          <cell r="W129">
            <v>27</v>
          </cell>
        </row>
        <row r="130">
          <cell r="A130">
            <v>45870</v>
          </cell>
          <cell r="B130">
            <v>10027</v>
          </cell>
          <cell r="C130">
            <v>50</v>
          </cell>
          <cell r="D130" t="str">
            <v>489516.03 A 979032.07</v>
          </cell>
          <cell r="E130">
            <v>2500</v>
          </cell>
          <cell r="F130">
            <v>200</v>
          </cell>
          <cell r="G130">
            <v>166</v>
          </cell>
          <cell r="H130">
            <v>44889</v>
          </cell>
          <cell r="I130">
            <v>45916</v>
          </cell>
          <cell r="J130">
            <v>45910</v>
          </cell>
          <cell r="K130" t="str">
            <v>78.15%</v>
          </cell>
          <cell r="L130" t="str">
            <v>76.00%</v>
          </cell>
          <cell r="M130" t="str">
            <v>83.00%</v>
          </cell>
          <cell r="N130">
            <v>32</v>
          </cell>
          <cell r="O130">
            <v>34</v>
          </cell>
          <cell r="P130">
            <v>32</v>
          </cell>
          <cell r="Q130">
            <v>449</v>
          </cell>
          <cell r="R130">
            <v>547</v>
          </cell>
          <cell r="S130">
            <v>1</v>
          </cell>
          <cell r="T130">
            <v>1</v>
          </cell>
          <cell r="U130">
            <v>26</v>
          </cell>
          <cell r="V130">
            <v>1</v>
          </cell>
          <cell r="W130">
            <v>29</v>
          </cell>
        </row>
        <row r="131">
          <cell r="A131">
            <v>45870</v>
          </cell>
          <cell r="B131">
            <v>10028</v>
          </cell>
          <cell r="C131">
            <v>0</v>
          </cell>
          <cell r="D131" t="str">
            <v>108651.54 A 217303.08</v>
          </cell>
          <cell r="E131">
            <v>2500</v>
          </cell>
          <cell r="F131">
            <v>200</v>
          </cell>
          <cell r="G131">
            <v>169</v>
          </cell>
          <cell r="H131">
            <v>44973</v>
          </cell>
          <cell r="I131">
            <v>45916</v>
          </cell>
          <cell r="J131">
            <v>45910</v>
          </cell>
          <cell r="K131" t="str">
            <v>68.28%</v>
          </cell>
          <cell r="L131" t="str">
            <v>68.01%</v>
          </cell>
          <cell r="M131" t="str">
            <v>78.23%</v>
          </cell>
          <cell r="N131">
            <v>27</v>
          </cell>
          <cell r="O131">
            <v>33</v>
          </cell>
          <cell r="P131">
            <v>28</v>
          </cell>
          <cell r="Q131">
            <v>243</v>
          </cell>
          <cell r="R131">
            <v>331</v>
          </cell>
          <cell r="S131">
            <v>1</v>
          </cell>
          <cell r="T131">
            <v>1</v>
          </cell>
          <cell r="U131">
            <v>25</v>
          </cell>
          <cell r="V131">
            <v>1</v>
          </cell>
          <cell r="W131">
            <v>28</v>
          </cell>
        </row>
        <row r="132">
          <cell r="A132">
            <v>45870</v>
          </cell>
          <cell r="B132">
            <v>10029</v>
          </cell>
          <cell r="C132">
            <v>0</v>
          </cell>
          <cell r="D132" t="str">
            <v>54458.06 A 98024.52</v>
          </cell>
          <cell r="E132">
            <v>2500</v>
          </cell>
          <cell r="F132">
            <v>200</v>
          </cell>
          <cell r="G132">
            <v>171</v>
          </cell>
          <cell r="H132">
            <v>45034</v>
          </cell>
          <cell r="I132">
            <v>45916</v>
          </cell>
          <cell r="J132">
            <v>45910</v>
          </cell>
          <cell r="K132" t="str">
            <v>65.20%</v>
          </cell>
          <cell r="L132" t="str">
            <v>60.02%</v>
          </cell>
          <cell r="M132" t="str">
            <v>75.00%</v>
          </cell>
          <cell r="N132">
            <v>26</v>
          </cell>
          <cell r="O132">
            <v>29</v>
          </cell>
          <cell r="P132">
            <v>21</v>
          </cell>
          <cell r="Q132">
            <v>138</v>
          </cell>
          <cell r="R132">
            <v>214</v>
          </cell>
          <cell r="S132">
            <v>1</v>
          </cell>
          <cell r="T132">
            <v>1</v>
          </cell>
          <cell r="U132">
            <v>14</v>
          </cell>
          <cell r="V132">
            <v>1</v>
          </cell>
          <cell r="W132">
            <v>17</v>
          </cell>
        </row>
        <row r="133">
          <cell r="A133">
            <v>45870</v>
          </cell>
          <cell r="B133">
            <v>10030</v>
          </cell>
          <cell r="C133">
            <v>50</v>
          </cell>
          <cell r="D133" t="str">
            <v>239186.80 A 434885.09</v>
          </cell>
          <cell r="E133">
            <v>2500</v>
          </cell>
          <cell r="F133">
            <v>200</v>
          </cell>
          <cell r="G133">
            <v>173</v>
          </cell>
          <cell r="H133">
            <v>45100</v>
          </cell>
          <cell r="I133">
            <v>45916</v>
          </cell>
          <cell r="J133">
            <v>45910</v>
          </cell>
          <cell r="K133" t="str">
            <v>80.34%</v>
          </cell>
          <cell r="L133" t="str">
            <v>79.20%</v>
          </cell>
          <cell r="M133" t="str">
            <v>84.62%</v>
          </cell>
          <cell r="N133">
            <v>27</v>
          </cell>
          <cell r="O133">
            <v>27</v>
          </cell>
          <cell r="P133">
            <v>26</v>
          </cell>
          <cell r="Q133">
            <v>280</v>
          </cell>
          <cell r="R133">
            <v>360</v>
          </cell>
          <cell r="S133">
            <v>1</v>
          </cell>
          <cell r="T133">
            <v>1</v>
          </cell>
          <cell r="U133">
            <v>22</v>
          </cell>
          <cell r="V133">
            <v>1</v>
          </cell>
          <cell r="W133">
            <v>25</v>
          </cell>
        </row>
        <row r="134">
          <cell r="A134">
            <v>45870</v>
          </cell>
          <cell r="B134">
            <v>10031</v>
          </cell>
          <cell r="C134">
            <v>50</v>
          </cell>
          <cell r="D134" t="str">
            <v>489197.24 A 978394.48</v>
          </cell>
          <cell r="E134">
            <v>2500</v>
          </cell>
          <cell r="F134">
            <v>200</v>
          </cell>
          <cell r="G134">
            <v>174</v>
          </cell>
          <cell r="H134">
            <v>45125</v>
          </cell>
          <cell r="I134">
            <v>45916</v>
          </cell>
          <cell r="J134">
            <v>45910</v>
          </cell>
          <cell r="K134" t="str">
            <v>80.11%</v>
          </cell>
          <cell r="L134" t="str">
            <v>80.00%</v>
          </cell>
          <cell r="M134" t="str">
            <v>82.00%</v>
          </cell>
          <cell r="N134">
            <v>26</v>
          </cell>
          <cell r="O134">
            <v>25</v>
          </cell>
          <cell r="P134">
            <v>25</v>
          </cell>
          <cell r="Q134">
            <v>311</v>
          </cell>
          <cell r="R134">
            <v>387</v>
          </cell>
          <cell r="S134">
            <v>1</v>
          </cell>
          <cell r="T134">
            <v>1</v>
          </cell>
          <cell r="U134">
            <v>22</v>
          </cell>
          <cell r="V134">
            <v>1</v>
          </cell>
          <cell r="W134">
            <v>25</v>
          </cell>
        </row>
        <row r="135">
          <cell r="A135">
            <v>45870</v>
          </cell>
          <cell r="B135">
            <v>10032</v>
          </cell>
          <cell r="C135">
            <v>0</v>
          </cell>
          <cell r="D135" t="str">
            <v>52030.45 A 93654.81</v>
          </cell>
          <cell r="E135">
            <v>2500</v>
          </cell>
          <cell r="F135">
            <v>240</v>
          </cell>
          <cell r="G135">
            <v>216</v>
          </cell>
          <cell r="H135">
            <v>45197</v>
          </cell>
          <cell r="I135">
            <v>45916</v>
          </cell>
          <cell r="J135">
            <v>45910</v>
          </cell>
          <cell r="K135" t="str">
            <v>59.80%</v>
          </cell>
          <cell r="L135" t="str">
            <v>58.58%</v>
          </cell>
          <cell r="M135" t="str">
            <v>62.46%</v>
          </cell>
          <cell r="N135">
            <v>22</v>
          </cell>
          <cell r="O135">
            <v>26</v>
          </cell>
          <cell r="P135">
            <v>15</v>
          </cell>
          <cell r="Q135">
            <v>82</v>
          </cell>
          <cell r="R135">
            <v>145</v>
          </cell>
          <cell r="S135">
            <v>1</v>
          </cell>
          <cell r="T135">
            <v>1</v>
          </cell>
          <cell r="U135">
            <v>10</v>
          </cell>
          <cell r="V135">
            <v>1</v>
          </cell>
          <cell r="W135">
            <v>13</v>
          </cell>
        </row>
        <row r="136">
          <cell r="A136">
            <v>45870</v>
          </cell>
          <cell r="B136">
            <v>10033</v>
          </cell>
          <cell r="C136">
            <v>0</v>
          </cell>
          <cell r="D136" t="str">
            <v>104060.90 A 208121.80</v>
          </cell>
          <cell r="E136">
            <v>2500</v>
          </cell>
          <cell r="F136">
            <v>240</v>
          </cell>
          <cell r="G136">
            <v>216</v>
          </cell>
          <cell r="H136">
            <v>45188</v>
          </cell>
          <cell r="I136">
            <v>45916</v>
          </cell>
          <cell r="J136">
            <v>45910</v>
          </cell>
          <cell r="K136" t="str">
            <v>62.36%</v>
          </cell>
          <cell r="L136" t="str">
            <v>55.00%</v>
          </cell>
          <cell r="M136" t="str">
            <v>67.27%</v>
          </cell>
          <cell r="N136">
            <v>24</v>
          </cell>
          <cell r="O136">
            <v>24</v>
          </cell>
          <cell r="P136">
            <v>21</v>
          </cell>
          <cell r="Q136">
            <v>114</v>
          </cell>
          <cell r="R136">
            <v>183</v>
          </cell>
          <cell r="S136">
            <v>1</v>
          </cell>
          <cell r="T136">
            <v>1</v>
          </cell>
          <cell r="U136">
            <v>13</v>
          </cell>
          <cell r="V136">
            <v>1</v>
          </cell>
          <cell r="W136">
            <v>16</v>
          </cell>
        </row>
        <row r="137">
          <cell r="A137">
            <v>45870</v>
          </cell>
          <cell r="B137">
            <v>10034</v>
          </cell>
          <cell r="C137">
            <v>50</v>
          </cell>
          <cell r="D137" t="str">
            <v>104060.90 A 208121.80</v>
          </cell>
          <cell r="E137">
            <v>2500</v>
          </cell>
          <cell r="F137">
            <v>200</v>
          </cell>
          <cell r="G137">
            <v>176</v>
          </cell>
          <cell r="H137">
            <v>45188</v>
          </cell>
          <cell r="I137">
            <v>45916</v>
          </cell>
          <cell r="J137">
            <v>45910</v>
          </cell>
          <cell r="K137" t="str">
            <v>75.13%</v>
          </cell>
          <cell r="L137" t="str">
            <v>71.83%</v>
          </cell>
          <cell r="M137" t="str">
            <v>86.49%</v>
          </cell>
          <cell r="N137">
            <v>24</v>
          </cell>
          <cell r="O137">
            <v>24</v>
          </cell>
          <cell r="P137">
            <v>23</v>
          </cell>
          <cell r="Q137">
            <v>230</v>
          </cell>
          <cell r="R137">
            <v>301</v>
          </cell>
          <cell r="S137">
            <v>1</v>
          </cell>
          <cell r="T137">
            <v>1</v>
          </cell>
          <cell r="U137">
            <v>29</v>
          </cell>
          <cell r="V137">
            <v>1</v>
          </cell>
          <cell r="W137">
            <v>32</v>
          </cell>
        </row>
        <row r="138">
          <cell r="A138">
            <v>45870</v>
          </cell>
          <cell r="B138">
            <v>10035</v>
          </cell>
          <cell r="C138">
            <v>50</v>
          </cell>
          <cell r="D138" t="str">
            <v>470702.25 A 941404.50</v>
          </cell>
          <cell r="E138">
            <v>2500</v>
          </cell>
          <cell r="F138">
            <v>200</v>
          </cell>
          <cell r="G138">
            <v>179</v>
          </cell>
          <cell r="H138">
            <v>45286</v>
          </cell>
          <cell r="I138">
            <v>45916</v>
          </cell>
          <cell r="J138">
            <v>45910</v>
          </cell>
          <cell r="K138" t="str">
            <v>82.04%</v>
          </cell>
          <cell r="L138" t="str">
            <v>81.20%</v>
          </cell>
          <cell r="M138" t="str">
            <v>85.10%</v>
          </cell>
          <cell r="N138">
            <v>21</v>
          </cell>
          <cell r="O138">
            <v>19</v>
          </cell>
          <cell r="P138">
            <v>19</v>
          </cell>
          <cell r="Q138">
            <v>191</v>
          </cell>
          <cell r="R138">
            <v>250</v>
          </cell>
          <cell r="S138">
            <v>1</v>
          </cell>
          <cell r="T138">
            <v>1</v>
          </cell>
          <cell r="U138">
            <v>29</v>
          </cell>
          <cell r="V138">
            <v>1</v>
          </cell>
          <cell r="W138">
            <v>32</v>
          </cell>
        </row>
        <row r="139">
          <cell r="A139">
            <v>45870</v>
          </cell>
          <cell r="B139">
            <v>10036</v>
          </cell>
          <cell r="C139">
            <v>50</v>
          </cell>
          <cell r="D139" t="str">
            <v>229183.02 A 416696.40</v>
          </cell>
          <cell r="E139">
            <v>2500</v>
          </cell>
          <cell r="F139">
            <v>200</v>
          </cell>
          <cell r="G139">
            <v>182</v>
          </cell>
          <cell r="H139">
            <v>45369</v>
          </cell>
          <cell r="I139">
            <v>45916</v>
          </cell>
          <cell r="J139">
            <v>45910</v>
          </cell>
          <cell r="K139" t="str">
            <v>77.34%</v>
          </cell>
          <cell r="L139" t="str">
            <v>79.05%</v>
          </cell>
          <cell r="M139" t="str">
            <v>85.91%</v>
          </cell>
          <cell r="N139">
            <v>18</v>
          </cell>
          <cell r="O139">
            <v>19</v>
          </cell>
          <cell r="P139">
            <v>18</v>
          </cell>
          <cell r="Q139">
            <v>120</v>
          </cell>
          <cell r="R139">
            <v>175</v>
          </cell>
          <cell r="S139">
            <v>1</v>
          </cell>
          <cell r="T139">
            <v>1</v>
          </cell>
          <cell r="U139">
            <v>22</v>
          </cell>
          <cell r="V139">
            <v>1</v>
          </cell>
          <cell r="W139">
            <v>25</v>
          </cell>
        </row>
        <row r="140">
          <cell r="A140">
            <v>45870</v>
          </cell>
          <cell r="B140">
            <v>10037</v>
          </cell>
          <cell r="C140">
            <v>50</v>
          </cell>
          <cell r="D140" t="str">
            <v>104866.50 A 209733.00</v>
          </cell>
          <cell r="E140">
            <v>2500</v>
          </cell>
          <cell r="F140">
            <v>200</v>
          </cell>
          <cell r="G140">
            <v>183</v>
          </cell>
          <cell r="H140">
            <v>45398</v>
          </cell>
          <cell r="I140">
            <v>45916</v>
          </cell>
          <cell r="J140">
            <v>45910</v>
          </cell>
          <cell r="K140" t="str">
            <v>75.73%</v>
          </cell>
          <cell r="L140" t="str">
            <v>75.00%</v>
          </cell>
          <cell r="M140" t="str">
            <v>80.00%</v>
          </cell>
          <cell r="N140">
            <v>16</v>
          </cell>
          <cell r="O140">
            <v>18</v>
          </cell>
          <cell r="P140">
            <v>17</v>
          </cell>
          <cell r="Q140">
            <v>127</v>
          </cell>
          <cell r="R140">
            <v>178</v>
          </cell>
          <cell r="S140">
            <v>1</v>
          </cell>
          <cell r="T140">
            <v>1</v>
          </cell>
          <cell r="U140">
            <v>22</v>
          </cell>
          <cell r="V140">
            <v>1</v>
          </cell>
          <cell r="W140">
            <v>25</v>
          </cell>
        </row>
        <row r="141">
          <cell r="A141">
            <v>45870</v>
          </cell>
          <cell r="B141">
            <v>10038</v>
          </cell>
          <cell r="C141">
            <v>0</v>
          </cell>
          <cell r="D141" t="str">
            <v>105316.70 A 210633.40</v>
          </cell>
          <cell r="E141">
            <v>2500</v>
          </cell>
          <cell r="F141">
            <v>200</v>
          </cell>
          <cell r="G141">
            <v>185</v>
          </cell>
          <cell r="H141">
            <v>45460</v>
          </cell>
          <cell r="I141">
            <v>45916</v>
          </cell>
          <cell r="J141">
            <v>45910</v>
          </cell>
          <cell r="K141" t="str">
            <v>72.92%</v>
          </cell>
          <cell r="L141" t="str">
            <v>56.11%</v>
          </cell>
          <cell r="M141" t="str">
            <v>77.00%</v>
          </cell>
          <cell r="N141">
            <v>15</v>
          </cell>
          <cell r="O141">
            <v>14</v>
          </cell>
          <cell r="P141">
            <v>13</v>
          </cell>
          <cell r="Q141">
            <v>31</v>
          </cell>
          <cell r="R141">
            <v>73</v>
          </cell>
          <cell r="S141">
            <v>1</v>
          </cell>
          <cell r="T141">
            <v>1</v>
          </cell>
          <cell r="U141">
            <v>7</v>
          </cell>
          <cell r="V141">
            <v>1</v>
          </cell>
          <cell r="W141">
            <v>10</v>
          </cell>
        </row>
        <row r="142">
          <cell r="A142">
            <v>45870</v>
          </cell>
          <cell r="B142">
            <v>10039</v>
          </cell>
          <cell r="C142">
            <v>50</v>
          </cell>
          <cell r="D142" t="str">
            <v>105180.43 A 210360.86</v>
          </cell>
          <cell r="E142">
            <v>2500</v>
          </cell>
          <cell r="F142">
            <v>200</v>
          </cell>
          <cell r="G142">
            <v>187</v>
          </cell>
          <cell r="H142">
            <v>45525</v>
          </cell>
          <cell r="I142">
            <v>45916</v>
          </cell>
          <cell r="J142">
            <v>45910</v>
          </cell>
          <cell r="K142" t="str">
            <v>75.00%</v>
          </cell>
          <cell r="L142" t="str">
            <v>73.00%</v>
          </cell>
          <cell r="M142" t="str">
            <v>79.00%</v>
          </cell>
          <cell r="N142">
            <v>13</v>
          </cell>
          <cell r="O142">
            <v>13</v>
          </cell>
          <cell r="P142">
            <v>12</v>
          </cell>
          <cell r="Q142">
            <v>84</v>
          </cell>
          <cell r="R142">
            <v>122</v>
          </cell>
          <cell r="S142">
            <v>1</v>
          </cell>
          <cell r="T142">
            <v>1</v>
          </cell>
          <cell r="U142">
            <v>20</v>
          </cell>
          <cell r="V142">
            <v>1</v>
          </cell>
          <cell r="W142">
            <v>23</v>
          </cell>
        </row>
        <row r="143">
          <cell r="A143">
            <v>45870</v>
          </cell>
          <cell r="B143">
            <v>10040</v>
          </cell>
          <cell r="C143">
            <v>50</v>
          </cell>
          <cell r="D143" t="str">
            <v>450000.00 A 900000.00</v>
          </cell>
          <cell r="E143">
            <v>2500</v>
          </cell>
          <cell r="F143">
            <v>200</v>
          </cell>
          <cell r="G143">
            <v>188</v>
          </cell>
          <cell r="H143">
            <v>45551</v>
          </cell>
          <cell r="I143">
            <v>45916</v>
          </cell>
          <cell r="J143">
            <v>45910</v>
          </cell>
          <cell r="K143" t="str">
            <v>84.13%</v>
          </cell>
          <cell r="L143" t="str">
            <v>83.50%</v>
          </cell>
          <cell r="M143" t="str">
            <v>86.67%</v>
          </cell>
          <cell r="N143">
            <v>12</v>
          </cell>
          <cell r="O143">
            <v>12</v>
          </cell>
          <cell r="P143">
            <v>12</v>
          </cell>
          <cell r="Q143">
            <v>55</v>
          </cell>
          <cell r="R143">
            <v>91</v>
          </cell>
          <cell r="S143">
            <v>1</v>
          </cell>
          <cell r="T143">
            <v>1</v>
          </cell>
          <cell r="U143">
            <v>14</v>
          </cell>
          <cell r="V143">
            <v>1</v>
          </cell>
          <cell r="W143">
            <v>17</v>
          </cell>
        </row>
        <row r="144">
          <cell r="A144">
            <v>45870</v>
          </cell>
          <cell r="B144">
            <v>10041</v>
          </cell>
          <cell r="C144">
            <v>50</v>
          </cell>
          <cell r="D144" t="str">
            <v>220000.00 A 400000.00</v>
          </cell>
          <cell r="E144">
            <v>2500</v>
          </cell>
          <cell r="F144">
            <v>200</v>
          </cell>
          <cell r="G144">
            <v>189</v>
          </cell>
          <cell r="H144">
            <v>45581</v>
          </cell>
          <cell r="I144">
            <v>45916</v>
          </cell>
          <cell r="J144">
            <v>45910</v>
          </cell>
          <cell r="K144" t="str">
            <v>85.90%</v>
          </cell>
          <cell r="L144" t="str">
            <v>80.00%</v>
          </cell>
          <cell r="M144" t="str">
            <v>94.50%</v>
          </cell>
          <cell r="N144">
            <v>11</v>
          </cell>
          <cell r="O144">
            <v>10</v>
          </cell>
          <cell r="P144">
            <v>7</v>
          </cell>
          <cell r="Q144">
            <v>23</v>
          </cell>
          <cell r="R144">
            <v>51</v>
          </cell>
          <cell r="S144">
            <v>1</v>
          </cell>
          <cell r="T144">
            <v>1</v>
          </cell>
          <cell r="U144">
            <v>8</v>
          </cell>
          <cell r="V144">
            <v>1</v>
          </cell>
          <cell r="W144">
            <v>11</v>
          </cell>
        </row>
        <row r="145">
          <cell r="A145">
            <v>45870</v>
          </cell>
          <cell r="B145">
            <v>10042</v>
          </cell>
          <cell r="C145">
            <v>0</v>
          </cell>
          <cell r="D145" t="str">
            <v>100000.00 A 200000.00</v>
          </cell>
          <cell r="E145">
            <v>2500</v>
          </cell>
          <cell r="F145">
            <v>240</v>
          </cell>
          <cell r="G145">
            <v>231</v>
          </cell>
          <cell r="H145">
            <v>45642</v>
          </cell>
          <cell r="I145">
            <v>45916</v>
          </cell>
          <cell r="J145">
            <v>45910</v>
          </cell>
          <cell r="K145" t="str">
            <v>66.41%</v>
          </cell>
          <cell r="L145" t="str">
            <v>65.00%</v>
          </cell>
          <cell r="M145" t="str">
            <v>70.00%</v>
          </cell>
          <cell r="N145">
            <v>9</v>
          </cell>
          <cell r="O145">
            <v>9</v>
          </cell>
          <cell r="P145">
            <v>8</v>
          </cell>
          <cell r="Q145">
            <v>55</v>
          </cell>
          <cell r="R145">
            <v>81</v>
          </cell>
          <cell r="S145">
            <v>1</v>
          </cell>
          <cell r="T145">
            <v>1</v>
          </cell>
          <cell r="U145">
            <v>10</v>
          </cell>
          <cell r="V145">
            <v>1</v>
          </cell>
          <cell r="W145">
            <v>13</v>
          </cell>
        </row>
        <row r="146">
          <cell r="A146">
            <v>45870</v>
          </cell>
          <cell r="B146">
            <v>10043</v>
          </cell>
          <cell r="C146">
            <v>0</v>
          </cell>
          <cell r="D146" t="str">
            <v>45000.00 A 90000.00</v>
          </cell>
          <cell r="E146">
            <v>2500</v>
          </cell>
          <cell r="F146">
            <v>200</v>
          </cell>
          <cell r="G146">
            <v>191</v>
          </cell>
          <cell r="H146">
            <v>45642</v>
          </cell>
          <cell r="I146">
            <v>45916</v>
          </cell>
          <cell r="J146">
            <v>45910</v>
          </cell>
          <cell r="K146" t="str">
            <v>66.41%</v>
          </cell>
          <cell r="L146" t="str">
            <v>66.00%</v>
          </cell>
          <cell r="M146" t="str">
            <v>72.22%</v>
          </cell>
          <cell r="N146">
            <v>9</v>
          </cell>
          <cell r="O146">
            <v>8</v>
          </cell>
          <cell r="P146">
            <v>8</v>
          </cell>
          <cell r="Q146">
            <v>25</v>
          </cell>
          <cell r="R146">
            <v>50</v>
          </cell>
          <cell r="S146">
            <v>1</v>
          </cell>
          <cell r="T146">
            <v>1</v>
          </cell>
          <cell r="U146">
            <v>4</v>
          </cell>
          <cell r="V146">
            <v>1</v>
          </cell>
          <cell r="W146">
            <v>7</v>
          </cell>
        </row>
        <row r="147">
          <cell r="A147">
            <v>45870</v>
          </cell>
          <cell r="B147">
            <v>10044</v>
          </cell>
          <cell r="C147">
            <v>0</v>
          </cell>
          <cell r="D147" t="str">
            <v>100000.00 A 200000.00</v>
          </cell>
          <cell r="E147">
            <v>2500</v>
          </cell>
          <cell r="F147">
            <v>200</v>
          </cell>
          <cell r="G147">
            <v>191</v>
          </cell>
          <cell r="H147">
            <v>45642</v>
          </cell>
          <cell r="I147">
            <v>45916</v>
          </cell>
          <cell r="J147">
            <v>45910</v>
          </cell>
          <cell r="K147" t="str">
            <v>70.46%</v>
          </cell>
          <cell r="L147" t="str">
            <v>63.51%</v>
          </cell>
          <cell r="M147" t="str">
            <v>85.00%</v>
          </cell>
          <cell r="N147">
            <v>9</v>
          </cell>
          <cell r="O147">
            <v>7</v>
          </cell>
          <cell r="P147">
            <v>9</v>
          </cell>
          <cell r="Q147">
            <v>21</v>
          </cell>
          <cell r="R147">
            <v>46</v>
          </cell>
          <cell r="S147">
            <v>1</v>
          </cell>
          <cell r="T147">
            <v>1</v>
          </cell>
          <cell r="U147">
            <v>5</v>
          </cell>
          <cell r="V147">
            <v>1</v>
          </cell>
          <cell r="W147">
            <v>8</v>
          </cell>
        </row>
        <row r="148">
          <cell r="A148">
            <v>45870</v>
          </cell>
          <cell r="B148">
            <v>10045</v>
          </cell>
          <cell r="C148">
            <v>0</v>
          </cell>
          <cell r="D148" t="str">
            <v>200000.00 A 400000.00</v>
          </cell>
          <cell r="E148">
            <v>2500</v>
          </cell>
          <cell r="F148">
            <v>200</v>
          </cell>
          <cell r="G148">
            <v>191</v>
          </cell>
          <cell r="H148">
            <v>45642</v>
          </cell>
          <cell r="I148">
            <v>45916</v>
          </cell>
          <cell r="J148">
            <v>45910</v>
          </cell>
          <cell r="K148" t="str">
            <v>79.03%</v>
          </cell>
          <cell r="L148" t="str">
            <v>79.02%</v>
          </cell>
          <cell r="M148" t="str">
            <v>83.00%</v>
          </cell>
          <cell r="N148">
            <v>9</v>
          </cell>
          <cell r="O148">
            <v>8</v>
          </cell>
          <cell r="P148">
            <v>6</v>
          </cell>
          <cell r="Q148">
            <v>12</v>
          </cell>
          <cell r="R148">
            <v>35</v>
          </cell>
          <cell r="S148">
            <v>1</v>
          </cell>
          <cell r="T148">
            <v>1</v>
          </cell>
          <cell r="U148">
            <v>3</v>
          </cell>
          <cell r="V148">
            <v>1</v>
          </cell>
          <cell r="W148">
            <v>6</v>
          </cell>
        </row>
        <row r="149">
          <cell r="A149">
            <v>45870</v>
          </cell>
          <cell r="B149">
            <v>10046</v>
          </cell>
          <cell r="C149">
            <v>50</v>
          </cell>
          <cell r="D149" t="str">
            <v>100000.00 A 200000.00</v>
          </cell>
          <cell r="E149">
            <v>2500</v>
          </cell>
          <cell r="F149">
            <v>200</v>
          </cell>
          <cell r="G149">
            <v>191</v>
          </cell>
          <cell r="H149">
            <v>45642</v>
          </cell>
          <cell r="I149">
            <v>45916</v>
          </cell>
          <cell r="J149">
            <v>45910</v>
          </cell>
          <cell r="K149" t="str">
            <v>77.04%</v>
          </cell>
          <cell r="L149" t="str">
            <v>76.00%</v>
          </cell>
          <cell r="M149" t="str">
            <v>80.00%</v>
          </cell>
          <cell r="N149">
            <v>9</v>
          </cell>
          <cell r="O149">
            <v>9</v>
          </cell>
          <cell r="P149">
            <v>9</v>
          </cell>
          <cell r="Q149">
            <v>48</v>
          </cell>
          <cell r="R149">
            <v>75</v>
          </cell>
          <cell r="S149">
            <v>1</v>
          </cell>
          <cell r="T149">
            <v>1</v>
          </cell>
          <cell r="U149">
            <v>10</v>
          </cell>
          <cell r="V149">
            <v>1</v>
          </cell>
          <cell r="W149">
            <v>13</v>
          </cell>
        </row>
        <row r="150">
          <cell r="A150">
            <v>45870</v>
          </cell>
          <cell r="B150">
            <v>10047</v>
          </cell>
          <cell r="C150">
            <v>50</v>
          </cell>
          <cell r="D150" t="str">
            <v>200000.00 A 400000.00</v>
          </cell>
          <cell r="E150">
            <v>2500</v>
          </cell>
          <cell r="F150">
            <v>200</v>
          </cell>
          <cell r="G150">
            <v>191</v>
          </cell>
          <cell r="H150">
            <v>45642</v>
          </cell>
          <cell r="I150">
            <v>45916</v>
          </cell>
          <cell r="J150">
            <v>45910</v>
          </cell>
          <cell r="K150" t="str">
            <v>77.74%</v>
          </cell>
          <cell r="L150" t="str">
            <v>76.50%</v>
          </cell>
          <cell r="M150" t="str">
            <v>83.00%</v>
          </cell>
          <cell r="N150">
            <v>9</v>
          </cell>
          <cell r="O150">
            <v>8</v>
          </cell>
          <cell r="P150">
            <v>9</v>
          </cell>
          <cell r="Q150">
            <v>51</v>
          </cell>
          <cell r="R150">
            <v>77</v>
          </cell>
          <cell r="S150">
            <v>1</v>
          </cell>
          <cell r="T150">
            <v>1</v>
          </cell>
          <cell r="U150">
            <v>10</v>
          </cell>
          <cell r="V150">
            <v>1</v>
          </cell>
          <cell r="W150">
            <v>13</v>
          </cell>
        </row>
        <row r="151">
          <cell r="A151">
            <v>45870</v>
          </cell>
          <cell r="B151">
            <v>10048</v>
          </cell>
          <cell r="C151">
            <v>50</v>
          </cell>
          <cell r="D151" t="str">
            <v>450000.00 A 900000.00</v>
          </cell>
          <cell r="E151">
            <v>2500</v>
          </cell>
          <cell r="F151">
            <v>200</v>
          </cell>
          <cell r="G151">
            <v>191</v>
          </cell>
          <cell r="H151">
            <v>45642</v>
          </cell>
          <cell r="I151">
            <v>45916</v>
          </cell>
          <cell r="J151">
            <v>45910</v>
          </cell>
          <cell r="K151" t="str">
            <v>81.83%</v>
          </cell>
          <cell r="L151" t="str">
            <v>81.00%</v>
          </cell>
          <cell r="M151" t="str">
            <v>87.50%</v>
          </cell>
          <cell r="N151">
            <v>9</v>
          </cell>
          <cell r="O151">
            <v>9</v>
          </cell>
          <cell r="P151">
            <v>9</v>
          </cell>
          <cell r="Q151">
            <v>65</v>
          </cell>
          <cell r="R151">
            <v>92</v>
          </cell>
          <cell r="S151">
            <v>1</v>
          </cell>
          <cell r="T151">
            <v>1</v>
          </cell>
          <cell r="U151">
            <v>11</v>
          </cell>
          <cell r="V151">
            <v>1</v>
          </cell>
          <cell r="W151">
            <v>14</v>
          </cell>
        </row>
        <row r="152">
          <cell r="A152">
            <v>45870</v>
          </cell>
          <cell r="B152">
            <v>10049</v>
          </cell>
          <cell r="C152">
            <v>50</v>
          </cell>
          <cell r="D152" t="str">
            <v>100000.00 A 200000.00</v>
          </cell>
          <cell r="E152">
            <v>2500</v>
          </cell>
          <cell r="F152">
            <v>200</v>
          </cell>
          <cell r="G152">
            <v>192</v>
          </cell>
          <cell r="H152">
            <v>45673</v>
          </cell>
          <cell r="I152">
            <v>45916</v>
          </cell>
          <cell r="J152">
            <v>45910</v>
          </cell>
          <cell r="K152" t="str">
            <v>73.64%</v>
          </cell>
          <cell r="L152" t="str">
            <v>75.10%</v>
          </cell>
          <cell r="M152" t="str">
            <v>80.00%</v>
          </cell>
          <cell r="N152">
            <v>8</v>
          </cell>
          <cell r="O152">
            <v>6</v>
          </cell>
          <cell r="P152">
            <v>8</v>
          </cell>
          <cell r="Q152">
            <v>44</v>
          </cell>
          <cell r="R152">
            <v>66</v>
          </cell>
          <cell r="S152">
            <v>1</v>
          </cell>
          <cell r="T152">
            <v>1</v>
          </cell>
          <cell r="U152">
            <v>7</v>
          </cell>
          <cell r="V152">
            <v>1</v>
          </cell>
          <cell r="W152">
            <v>10</v>
          </cell>
        </row>
        <row r="153">
          <cell r="A153">
            <v>45870</v>
          </cell>
          <cell r="B153">
            <v>10050</v>
          </cell>
          <cell r="C153">
            <v>50</v>
          </cell>
          <cell r="D153" t="str">
            <v>450000.00 A 900000.00</v>
          </cell>
          <cell r="E153">
            <v>2500</v>
          </cell>
          <cell r="F153">
            <v>200</v>
          </cell>
          <cell r="G153">
            <v>194</v>
          </cell>
          <cell r="H153">
            <v>45729</v>
          </cell>
          <cell r="I153">
            <v>45916</v>
          </cell>
          <cell r="J153">
            <v>45910</v>
          </cell>
          <cell r="K153" t="str">
            <v>83.69%</v>
          </cell>
          <cell r="L153" t="str">
            <v>79.51%</v>
          </cell>
          <cell r="M153" t="str">
            <v>90.00%</v>
          </cell>
          <cell r="N153">
            <v>6</v>
          </cell>
          <cell r="O153">
            <v>5</v>
          </cell>
          <cell r="P153">
            <v>6</v>
          </cell>
          <cell r="Q153">
            <v>35</v>
          </cell>
          <cell r="R153">
            <v>52</v>
          </cell>
          <cell r="S153">
            <v>1</v>
          </cell>
          <cell r="T153">
            <v>1</v>
          </cell>
          <cell r="U153">
            <v>10</v>
          </cell>
          <cell r="V153">
            <v>1</v>
          </cell>
          <cell r="W153">
            <v>13</v>
          </cell>
        </row>
        <row r="154">
          <cell r="A154">
            <v>45870</v>
          </cell>
          <cell r="B154">
            <v>10051</v>
          </cell>
          <cell r="C154">
            <v>50</v>
          </cell>
          <cell r="D154" t="str">
            <v>100000.00 A 200000.00</v>
          </cell>
          <cell r="E154">
            <v>2500</v>
          </cell>
          <cell r="F154">
            <v>200</v>
          </cell>
          <cell r="G154">
            <v>195</v>
          </cell>
          <cell r="H154">
            <v>45763</v>
          </cell>
          <cell r="I154">
            <v>45916</v>
          </cell>
          <cell r="J154">
            <v>45910</v>
          </cell>
          <cell r="K154" t="str">
            <v>79.32%</v>
          </cell>
          <cell r="L154" t="str">
            <v>78.00%</v>
          </cell>
          <cell r="M154" t="str">
            <v>83.33%</v>
          </cell>
          <cell r="N154">
            <v>5</v>
          </cell>
          <cell r="O154">
            <v>4</v>
          </cell>
          <cell r="P154">
            <v>5</v>
          </cell>
          <cell r="Q154">
            <v>17</v>
          </cell>
          <cell r="R154">
            <v>31</v>
          </cell>
          <cell r="S154">
            <v>1</v>
          </cell>
          <cell r="T154">
            <v>1</v>
          </cell>
          <cell r="U154">
            <v>9</v>
          </cell>
          <cell r="V154">
            <v>1</v>
          </cell>
          <cell r="W154">
            <v>12</v>
          </cell>
        </row>
        <row r="155">
          <cell r="A155">
            <v>45870</v>
          </cell>
          <cell r="B155">
            <v>10052</v>
          </cell>
          <cell r="C155">
            <v>50</v>
          </cell>
          <cell r="D155" t="str">
            <v>200000.00 A 400000.00</v>
          </cell>
          <cell r="E155">
            <v>2500</v>
          </cell>
          <cell r="F155">
            <v>200</v>
          </cell>
          <cell r="G155">
            <v>196</v>
          </cell>
          <cell r="H155">
            <v>45792</v>
          </cell>
          <cell r="I155">
            <v>45916</v>
          </cell>
          <cell r="J155">
            <v>45910</v>
          </cell>
          <cell r="K155" t="str">
            <v>79.02%</v>
          </cell>
          <cell r="L155" t="str">
            <v>80.00%</v>
          </cell>
          <cell r="M155" t="str">
            <v>80.00%</v>
          </cell>
          <cell r="N155">
            <v>4</v>
          </cell>
          <cell r="O155">
            <v>4</v>
          </cell>
          <cell r="P155">
            <v>2</v>
          </cell>
          <cell r="Q155">
            <v>10</v>
          </cell>
          <cell r="R155">
            <v>20</v>
          </cell>
          <cell r="S155">
            <v>1</v>
          </cell>
          <cell r="T155">
            <v>1</v>
          </cell>
          <cell r="U155">
            <v>4</v>
          </cell>
          <cell r="V155">
            <v>1</v>
          </cell>
          <cell r="W155">
            <v>7</v>
          </cell>
        </row>
        <row r="156">
          <cell r="A156">
            <v>45870</v>
          </cell>
          <cell r="B156">
            <v>10053</v>
          </cell>
          <cell r="C156">
            <v>50</v>
          </cell>
          <cell r="D156" t="str">
            <v>450000.00 A 900000.00</v>
          </cell>
          <cell r="E156">
            <v>2500</v>
          </cell>
          <cell r="F156">
            <v>200</v>
          </cell>
          <cell r="G156">
            <v>199</v>
          </cell>
          <cell r="H156">
            <v>45883</v>
          </cell>
          <cell r="I156">
            <v>45916</v>
          </cell>
          <cell r="J156">
            <v>45910</v>
          </cell>
          <cell r="K156" t="str">
            <v>0.00%</v>
          </cell>
          <cell r="L156" t="str">
            <v>82.00%</v>
          </cell>
          <cell r="M156" t="str">
            <v>82.00%</v>
          </cell>
          <cell r="N156">
            <v>1</v>
          </cell>
          <cell r="O156">
            <v>1</v>
          </cell>
          <cell r="P156">
            <v>1</v>
          </cell>
          <cell r="Q156">
            <v>1</v>
          </cell>
          <cell r="R156">
            <v>4</v>
          </cell>
          <cell r="S156">
            <v>1</v>
          </cell>
          <cell r="T156">
            <v>1</v>
          </cell>
          <cell r="U156">
            <v>1</v>
          </cell>
          <cell r="V156">
            <v>1</v>
          </cell>
          <cell r="W156">
            <v>4</v>
          </cell>
        </row>
        <row r="157">
          <cell r="A157">
            <v>45870</v>
          </cell>
          <cell r="B157">
            <v>10054</v>
          </cell>
          <cell r="C157">
            <v>50</v>
          </cell>
          <cell r="D157" t="str">
            <v>100000.00 A 200000.00</v>
          </cell>
          <cell r="E157">
            <v>2500</v>
          </cell>
          <cell r="F157">
            <v>200</v>
          </cell>
          <cell r="G157">
            <v>199</v>
          </cell>
          <cell r="H157">
            <v>45883</v>
          </cell>
          <cell r="I157">
            <v>45916</v>
          </cell>
          <cell r="J157">
            <v>45910</v>
          </cell>
          <cell r="K157" t="str">
            <v>0.00%</v>
          </cell>
          <cell r="L157" t="str">
            <v>0.00%</v>
          </cell>
          <cell r="M157" t="str">
            <v>0.00%</v>
          </cell>
          <cell r="N157">
            <v>1</v>
          </cell>
          <cell r="O157">
            <v>1</v>
          </cell>
          <cell r="P157">
            <v>1</v>
          </cell>
          <cell r="Q157">
            <v>0</v>
          </cell>
          <cell r="R157">
            <v>3</v>
          </cell>
          <cell r="S157">
            <v>1</v>
          </cell>
          <cell r="T157">
            <v>1</v>
          </cell>
          <cell r="U157">
            <v>0</v>
          </cell>
          <cell r="V157">
            <v>1</v>
          </cell>
          <cell r="W157">
            <v>3</v>
          </cell>
        </row>
        <row r="158">
          <cell r="A158">
            <v>45901</v>
          </cell>
          <cell r="B158">
            <v>10001</v>
          </cell>
          <cell r="C158" t="str">
            <v>Não</v>
          </cell>
          <cell r="D158" t="str">
            <v>58302.01 A 104943.63</v>
          </cell>
          <cell r="E158">
            <v>1000</v>
          </cell>
          <cell r="F158">
            <v>200</v>
          </cell>
          <cell r="G158">
            <v>153</v>
          </cell>
          <cell r="H158">
            <v>44522</v>
          </cell>
          <cell r="I158">
            <v>45946</v>
          </cell>
          <cell r="J158">
            <v>45940</v>
          </cell>
          <cell r="K158">
            <v>0.67520000000000002</v>
          </cell>
          <cell r="L158">
            <v>0.51359999999999995</v>
          </cell>
          <cell r="M158">
            <v>0.67210000000000003</v>
          </cell>
          <cell r="N158">
            <v>46</v>
          </cell>
          <cell r="O158">
            <v>79</v>
          </cell>
          <cell r="P158">
            <v>33</v>
          </cell>
          <cell r="Q158">
            <v>121</v>
          </cell>
          <cell r="R158">
            <v>279</v>
          </cell>
          <cell r="S158">
            <v>1</v>
          </cell>
          <cell r="T158">
            <v>1</v>
          </cell>
          <cell r="U158">
            <v>11</v>
          </cell>
          <cell r="V158">
            <v>1</v>
          </cell>
          <cell r="W158">
            <v>14</v>
          </cell>
        </row>
        <row r="159">
          <cell r="A159">
            <v>45901</v>
          </cell>
          <cell r="B159">
            <v>10002</v>
          </cell>
          <cell r="C159" t="str">
            <v>Não</v>
          </cell>
          <cell r="D159" t="str">
            <v>114331.18 A 228662.37</v>
          </cell>
          <cell r="E159">
            <v>1000</v>
          </cell>
          <cell r="F159">
            <v>200</v>
          </cell>
          <cell r="G159">
            <v>157</v>
          </cell>
          <cell r="H159">
            <v>44641</v>
          </cell>
          <cell r="I159">
            <v>45946</v>
          </cell>
          <cell r="J159">
            <v>45940</v>
          </cell>
          <cell r="K159">
            <v>0.65400000000000003</v>
          </cell>
          <cell r="L159">
            <v>0.61</v>
          </cell>
          <cell r="M159">
            <v>0.70009999999999994</v>
          </cell>
          <cell r="N159">
            <v>42</v>
          </cell>
          <cell r="O159">
            <v>59</v>
          </cell>
          <cell r="P159">
            <v>37</v>
          </cell>
          <cell r="Q159">
            <v>135</v>
          </cell>
          <cell r="R159">
            <v>273</v>
          </cell>
          <cell r="S159">
            <v>1</v>
          </cell>
          <cell r="T159">
            <v>1</v>
          </cell>
          <cell r="U159">
            <v>9</v>
          </cell>
          <cell r="V159">
            <v>1</v>
          </cell>
          <cell r="W159">
            <v>12</v>
          </cell>
        </row>
        <row r="160">
          <cell r="A160">
            <v>45901</v>
          </cell>
          <cell r="B160">
            <v>10003</v>
          </cell>
          <cell r="C160" t="str">
            <v>Não</v>
          </cell>
          <cell r="D160" t="str">
            <v>251528.60 A 457324.74</v>
          </cell>
          <cell r="E160">
            <v>1000</v>
          </cell>
          <cell r="F160">
            <v>200</v>
          </cell>
          <cell r="G160">
            <v>157</v>
          </cell>
          <cell r="H160">
            <v>44641</v>
          </cell>
          <cell r="I160">
            <v>45946</v>
          </cell>
          <cell r="J160">
            <v>45940</v>
          </cell>
          <cell r="K160">
            <v>0.64349999999999996</v>
          </cell>
          <cell r="L160">
            <v>0.55200000000000005</v>
          </cell>
          <cell r="M160">
            <v>0.7056</v>
          </cell>
          <cell r="N160">
            <v>39</v>
          </cell>
          <cell r="O160">
            <v>132</v>
          </cell>
          <cell r="P160">
            <v>31</v>
          </cell>
          <cell r="Q160">
            <v>142</v>
          </cell>
          <cell r="R160">
            <v>344</v>
          </cell>
          <cell r="S160">
            <v>1</v>
          </cell>
          <cell r="T160">
            <v>1</v>
          </cell>
          <cell r="U160">
            <v>13</v>
          </cell>
          <cell r="V160">
            <v>1</v>
          </cell>
          <cell r="W160">
            <v>16</v>
          </cell>
        </row>
        <row r="161">
          <cell r="A161">
            <v>45901</v>
          </cell>
          <cell r="B161">
            <v>10004</v>
          </cell>
          <cell r="C161" t="str">
            <v>Sim</v>
          </cell>
          <cell r="D161" t="str">
            <v>116604.03 A 233208.05</v>
          </cell>
          <cell r="E161">
            <v>1000</v>
          </cell>
          <cell r="F161">
            <v>200</v>
          </cell>
          <cell r="G161">
            <v>153</v>
          </cell>
          <cell r="H161">
            <v>44518</v>
          </cell>
          <cell r="I161">
            <v>45946</v>
          </cell>
          <cell r="J161">
            <v>45940</v>
          </cell>
          <cell r="K161">
            <v>0.69830000000000003</v>
          </cell>
          <cell r="L161">
            <v>0.68</v>
          </cell>
          <cell r="M161">
            <v>0.73329999999999995</v>
          </cell>
          <cell r="N161">
            <v>46</v>
          </cell>
          <cell r="O161">
            <v>53</v>
          </cell>
          <cell r="P161">
            <v>40</v>
          </cell>
          <cell r="Q161">
            <v>162</v>
          </cell>
          <cell r="R161">
            <v>301</v>
          </cell>
          <cell r="S161">
            <v>1</v>
          </cell>
          <cell r="T161">
            <v>1</v>
          </cell>
          <cell r="U161">
            <v>8</v>
          </cell>
          <cell r="V161">
            <v>1</v>
          </cell>
          <cell r="W161">
            <v>11</v>
          </cell>
        </row>
        <row r="162">
          <cell r="A162">
            <v>45901</v>
          </cell>
          <cell r="B162">
            <v>10005</v>
          </cell>
          <cell r="C162" t="str">
            <v>Sim</v>
          </cell>
          <cell r="D162" t="str">
            <v>256528.85 A 466416.10</v>
          </cell>
          <cell r="E162">
            <v>1000</v>
          </cell>
          <cell r="F162">
            <v>200</v>
          </cell>
          <cell r="G162">
            <v>153</v>
          </cell>
          <cell r="H162">
            <v>44518</v>
          </cell>
          <cell r="I162">
            <v>45946</v>
          </cell>
          <cell r="J162">
            <v>45940</v>
          </cell>
          <cell r="K162">
            <v>0.74399999999999999</v>
          </cell>
          <cell r="L162">
            <v>0.7</v>
          </cell>
          <cell r="M162">
            <v>0.76500000000000001</v>
          </cell>
          <cell r="N162">
            <v>47</v>
          </cell>
          <cell r="O162">
            <v>50</v>
          </cell>
          <cell r="P162">
            <v>40</v>
          </cell>
          <cell r="Q162">
            <v>183</v>
          </cell>
          <cell r="R162">
            <v>320</v>
          </cell>
          <cell r="S162">
            <v>1</v>
          </cell>
          <cell r="T162">
            <v>1</v>
          </cell>
          <cell r="U162">
            <v>10</v>
          </cell>
          <cell r="V162">
            <v>1</v>
          </cell>
          <cell r="W162">
            <v>13</v>
          </cell>
        </row>
        <row r="163">
          <cell r="A163">
            <v>45901</v>
          </cell>
          <cell r="B163">
            <v>10006</v>
          </cell>
          <cell r="C163" t="str">
            <v>Sim</v>
          </cell>
          <cell r="D163" t="str">
            <v>524718.11 A 1049436.22</v>
          </cell>
          <cell r="E163">
            <v>1000</v>
          </cell>
          <cell r="F163">
            <v>200</v>
          </cell>
          <cell r="G163">
            <v>153</v>
          </cell>
          <cell r="H163">
            <v>44518</v>
          </cell>
          <cell r="I163">
            <v>45946</v>
          </cell>
          <cell r="J163">
            <v>45940</v>
          </cell>
          <cell r="K163">
            <v>0.7208</v>
          </cell>
          <cell r="L163">
            <v>0.72019999999999995</v>
          </cell>
          <cell r="M163">
            <v>0.76500000000000001</v>
          </cell>
          <cell r="N163">
            <v>45</v>
          </cell>
          <cell r="O163">
            <v>60</v>
          </cell>
          <cell r="P163">
            <v>40</v>
          </cell>
          <cell r="Q163">
            <v>222</v>
          </cell>
          <cell r="R163">
            <v>367</v>
          </cell>
          <cell r="S163">
            <v>1</v>
          </cell>
          <cell r="T163">
            <v>1</v>
          </cell>
          <cell r="U163">
            <v>9</v>
          </cell>
          <cell r="V163">
            <v>1</v>
          </cell>
          <cell r="W163">
            <v>12</v>
          </cell>
        </row>
        <row r="164">
          <cell r="A164">
            <v>45901</v>
          </cell>
          <cell r="B164">
            <v>10007</v>
          </cell>
          <cell r="C164" t="str">
            <v>Sim</v>
          </cell>
          <cell r="D164" t="str">
            <v>115097.19 A 230194.37</v>
          </cell>
          <cell r="E164">
            <v>1000</v>
          </cell>
          <cell r="F164">
            <v>200</v>
          </cell>
          <cell r="G164">
            <v>156</v>
          </cell>
          <cell r="H164">
            <v>44613</v>
          </cell>
          <cell r="I164">
            <v>45946</v>
          </cell>
          <cell r="J164">
            <v>45940</v>
          </cell>
          <cell r="K164">
            <v>0.71940000000000004</v>
          </cell>
          <cell r="L164">
            <v>0.71679999999999999</v>
          </cell>
          <cell r="M164">
            <v>0.73850000000000005</v>
          </cell>
          <cell r="N164">
            <v>43</v>
          </cell>
          <cell r="O164">
            <v>110</v>
          </cell>
          <cell r="P164">
            <v>36</v>
          </cell>
          <cell r="Q164">
            <v>171</v>
          </cell>
          <cell r="R164">
            <v>360</v>
          </cell>
          <cell r="S164">
            <v>1</v>
          </cell>
          <cell r="T164">
            <v>1</v>
          </cell>
          <cell r="U164">
            <v>5</v>
          </cell>
          <cell r="V164">
            <v>1</v>
          </cell>
          <cell r="W164">
            <v>8</v>
          </cell>
        </row>
        <row r="165">
          <cell r="A165">
            <v>45901</v>
          </cell>
          <cell r="B165">
            <v>10008</v>
          </cell>
          <cell r="C165" t="str">
            <v>Sim</v>
          </cell>
          <cell r="D165" t="str">
            <v>251528.60 A 457324.74</v>
          </cell>
          <cell r="E165">
            <v>1000</v>
          </cell>
          <cell r="F165">
            <v>200</v>
          </cell>
          <cell r="G165">
            <v>157</v>
          </cell>
          <cell r="H165">
            <v>44641</v>
          </cell>
          <cell r="I165">
            <v>45946</v>
          </cell>
          <cell r="J165">
            <v>45940</v>
          </cell>
          <cell r="K165">
            <v>0.74270000000000003</v>
          </cell>
          <cell r="L165">
            <v>0.7</v>
          </cell>
          <cell r="M165">
            <v>0.78500000000000003</v>
          </cell>
          <cell r="N165">
            <v>42</v>
          </cell>
          <cell r="O165">
            <v>88</v>
          </cell>
          <cell r="P165">
            <v>39</v>
          </cell>
          <cell r="Q165">
            <v>170</v>
          </cell>
          <cell r="R165">
            <v>339</v>
          </cell>
          <cell r="S165">
            <v>1</v>
          </cell>
          <cell r="T165">
            <v>1</v>
          </cell>
          <cell r="U165">
            <v>14</v>
          </cell>
          <cell r="V165">
            <v>1</v>
          </cell>
          <cell r="W165">
            <v>17</v>
          </cell>
        </row>
        <row r="166">
          <cell r="A166">
            <v>45901</v>
          </cell>
          <cell r="B166">
            <v>10009</v>
          </cell>
          <cell r="C166" t="str">
            <v>Sim</v>
          </cell>
          <cell r="D166" t="str">
            <v>114331.18 A 228662.37</v>
          </cell>
          <cell r="E166">
            <v>1000</v>
          </cell>
          <cell r="F166">
            <v>200</v>
          </cell>
          <cell r="G166">
            <v>157</v>
          </cell>
          <cell r="H166">
            <v>44641</v>
          </cell>
          <cell r="I166">
            <v>45946</v>
          </cell>
          <cell r="J166">
            <v>45940</v>
          </cell>
          <cell r="K166">
            <v>0.67190000000000005</v>
          </cell>
          <cell r="L166">
            <v>0.65669999999999995</v>
          </cell>
          <cell r="M166">
            <v>0.71789999999999998</v>
          </cell>
          <cell r="N166">
            <v>42</v>
          </cell>
          <cell r="O166">
            <v>80</v>
          </cell>
          <cell r="P166">
            <v>38</v>
          </cell>
          <cell r="Q166">
            <v>150</v>
          </cell>
          <cell r="R166">
            <v>310</v>
          </cell>
          <cell r="S166">
            <v>1</v>
          </cell>
          <cell r="T166">
            <v>1</v>
          </cell>
          <cell r="U166">
            <v>11</v>
          </cell>
          <cell r="V166">
            <v>1</v>
          </cell>
          <cell r="W166">
            <v>14</v>
          </cell>
        </row>
        <row r="167">
          <cell r="A167">
            <v>45901</v>
          </cell>
          <cell r="B167">
            <v>10010</v>
          </cell>
          <cell r="C167" t="str">
            <v>Sim</v>
          </cell>
          <cell r="D167" t="str">
            <v>514490.33 A 1028980.65</v>
          </cell>
          <cell r="E167">
            <v>1000</v>
          </cell>
          <cell r="F167">
            <v>200</v>
          </cell>
          <cell r="G167">
            <v>157</v>
          </cell>
          <cell r="H167">
            <v>44641</v>
          </cell>
          <cell r="I167">
            <v>45946</v>
          </cell>
          <cell r="J167">
            <v>45940</v>
          </cell>
          <cell r="K167">
            <v>0.77210000000000001</v>
          </cell>
          <cell r="L167">
            <v>0.76239999999999997</v>
          </cell>
          <cell r="M167">
            <v>0.78500000000000003</v>
          </cell>
          <cell r="N167">
            <v>43</v>
          </cell>
          <cell r="O167">
            <v>66</v>
          </cell>
          <cell r="P167">
            <v>33</v>
          </cell>
          <cell r="Q167">
            <v>189</v>
          </cell>
          <cell r="R167">
            <v>331</v>
          </cell>
          <cell r="S167">
            <v>1</v>
          </cell>
          <cell r="T167">
            <v>1</v>
          </cell>
          <cell r="U167">
            <v>8</v>
          </cell>
          <cell r="V167">
            <v>1</v>
          </cell>
          <cell r="W167">
            <v>11</v>
          </cell>
        </row>
        <row r="168">
          <cell r="A168">
            <v>45901</v>
          </cell>
          <cell r="B168">
            <v>10011</v>
          </cell>
          <cell r="C168" t="str">
            <v>Não</v>
          </cell>
          <cell r="D168" t="str">
            <v>57165.59 A 102898.06</v>
          </cell>
          <cell r="E168">
            <v>1000</v>
          </cell>
          <cell r="F168">
            <v>200</v>
          </cell>
          <cell r="G168">
            <v>157</v>
          </cell>
          <cell r="H168">
            <v>44641</v>
          </cell>
          <cell r="I168">
            <v>45946</v>
          </cell>
          <cell r="J168">
            <v>45940</v>
          </cell>
          <cell r="K168">
            <v>0.62929999999999997</v>
          </cell>
          <cell r="L168">
            <v>0.5</v>
          </cell>
          <cell r="M168">
            <v>0.71</v>
          </cell>
          <cell r="N168">
            <v>41</v>
          </cell>
          <cell r="O168">
            <v>44</v>
          </cell>
          <cell r="P168">
            <v>33</v>
          </cell>
          <cell r="Q168">
            <v>104</v>
          </cell>
          <cell r="R168">
            <v>222</v>
          </cell>
          <cell r="S168">
            <v>1</v>
          </cell>
          <cell r="T168">
            <v>1</v>
          </cell>
          <cell r="U168">
            <v>7</v>
          </cell>
          <cell r="V168">
            <v>1</v>
          </cell>
          <cell r="W168">
            <v>10</v>
          </cell>
        </row>
        <row r="169">
          <cell r="A169">
            <v>45901</v>
          </cell>
          <cell r="B169">
            <v>10012</v>
          </cell>
          <cell r="C169" t="str">
            <v>Sim</v>
          </cell>
          <cell r="D169" t="str">
            <v>248357.94 A 451559.90</v>
          </cell>
          <cell r="E169">
            <v>1000</v>
          </cell>
          <cell r="F169">
            <v>200</v>
          </cell>
          <cell r="G169">
            <v>160</v>
          </cell>
          <cell r="H169">
            <v>44732</v>
          </cell>
          <cell r="I169">
            <v>45946</v>
          </cell>
          <cell r="J169">
            <v>45940</v>
          </cell>
          <cell r="K169">
            <v>0.71299999999999997</v>
          </cell>
          <cell r="L169">
            <v>0.7</v>
          </cell>
          <cell r="M169">
            <v>0.8</v>
          </cell>
          <cell r="N169">
            <v>39</v>
          </cell>
          <cell r="O169">
            <v>82</v>
          </cell>
          <cell r="P169">
            <v>33</v>
          </cell>
          <cell r="Q169">
            <v>155</v>
          </cell>
          <cell r="R169">
            <v>309</v>
          </cell>
          <cell r="S169">
            <v>1</v>
          </cell>
          <cell r="T169">
            <v>1</v>
          </cell>
          <cell r="U169">
            <v>8</v>
          </cell>
          <cell r="V169">
            <v>1</v>
          </cell>
          <cell r="W169">
            <v>11</v>
          </cell>
        </row>
        <row r="170">
          <cell r="A170">
            <v>45901</v>
          </cell>
          <cell r="B170">
            <v>10013</v>
          </cell>
          <cell r="C170" t="str">
            <v>Sim</v>
          </cell>
          <cell r="D170" t="str">
            <v>508004.88 A 1016009.75</v>
          </cell>
          <cell r="E170">
            <v>1000</v>
          </cell>
          <cell r="F170">
            <v>200</v>
          </cell>
          <cell r="G170">
            <v>160</v>
          </cell>
          <cell r="H170">
            <v>44732</v>
          </cell>
          <cell r="I170">
            <v>45946</v>
          </cell>
          <cell r="J170">
            <v>45940</v>
          </cell>
          <cell r="K170">
            <v>0.76029999999999998</v>
          </cell>
          <cell r="L170">
            <v>0.74119999999999997</v>
          </cell>
          <cell r="M170">
            <v>0.78200000000000003</v>
          </cell>
          <cell r="N170">
            <v>38</v>
          </cell>
          <cell r="O170">
            <v>105</v>
          </cell>
          <cell r="P170">
            <v>32</v>
          </cell>
          <cell r="Q170">
            <v>174</v>
          </cell>
          <cell r="R170">
            <v>349</v>
          </cell>
          <cell r="S170">
            <v>1</v>
          </cell>
          <cell r="T170">
            <v>1</v>
          </cell>
          <cell r="U170">
            <v>18</v>
          </cell>
          <cell r="V170">
            <v>1</v>
          </cell>
          <cell r="W170">
            <v>21</v>
          </cell>
        </row>
        <row r="171">
          <cell r="A171">
            <v>45901</v>
          </cell>
          <cell r="B171">
            <v>10014</v>
          </cell>
          <cell r="C171" t="str">
            <v>Sim</v>
          </cell>
          <cell r="D171" t="str">
            <v>113519.11 A 227038.20</v>
          </cell>
          <cell r="E171">
            <v>1000</v>
          </cell>
          <cell r="F171">
            <v>200</v>
          </cell>
          <cell r="G171">
            <v>159</v>
          </cell>
          <cell r="H171">
            <v>44708</v>
          </cell>
          <cell r="I171">
            <v>45946</v>
          </cell>
          <cell r="J171">
            <v>45940</v>
          </cell>
          <cell r="K171">
            <v>0.6966</v>
          </cell>
          <cell r="L171">
            <v>0.6865</v>
          </cell>
          <cell r="M171">
            <v>0.74</v>
          </cell>
          <cell r="N171">
            <v>41</v>
          </cell>
          <cell r="O171">
            <v>90</v>
          </cell>
          <cell r="P171">
            <v>35</v>
          </cell>
          <cell r="Q171">
            <v>144</v>
          </cell>
          <cell r="R171">
            <v>310</v>
          </cell>
          <cell r="S171">
            <v>1</v>
          </cell>
          <cell r="T171">
            <v>1</v>
          </cell>
          <cell r="U171">
            <v>8</v>
          </cell>
          <cell r="V171">
            <v>1</v>
          </cell>
          <cell r="W171">
            <v>11</v>
          </cell>
        </row>
        <row r="172">
          <cell r="A172">
            <v>45901</v>
          </cell>
          <cell r="B172">
            <v>10015</v>
          </cell>
          <cell r="C172" t="str">
            <v>Sim</v>
          </cell>
          <cell r="D172" t="str">
            <v>112777.57 A 225555.15</v>
          </cell>
          <cell r="E172">
            <v>1000</v>
          </cell>
          <cell r="F172">
            <v>200</v>
          </cell>
          <cell r="G172">
            <v>161</v>
          </cell>
          <cell r="H172">
            <v>44760</v>
          </cell>
          <cell r="I172">
            <v>45946</v>
          </cell>
          <cell r="J172">
            <v>45940</v>
          </cell>
          <cell r="K172">
            <v>0.69879999999999998</v>
          </cell>
          <cell r="L172">
            <v>0.68500000000000005</v>
          </cell>
          <cell r="M172">
            <v>0.70120000000000005</v>
          </cell>
          <cell r="N172">
            <v>39</v>
          </cell>
          <cell r="O172">
            <v>86</v>
          </cell>
          <cell r="P172">
            <v>33</v>
          </cell>
          <cell r="Q172">
            <v>131</v>
          </cell>
          <cell r="R172">
            <v>289</v>
          </cell>
          <cell r="S172">
            <v>1</v>
          </cell>
          <cell r="T172">
            <v>1</v>
          </cell>
          <cell r="U172">
            <v>9</v>
          </cell>
          <cell r="V172">
            <v>1</v>
          </cell>
          <cell r="W172">
            <v>12</v>
          </cell>
        </row>
        <row r="173">
          <cell r="A173">
            <v>45901</v>
          </cell>
          <cell r="B173">
            <v>10016</v>
          </cell>
          <cell r="C173" t="str">
            <v>Não</v>
          </cell>
          <cell r="D173" t="str">
            <v>56627.95 A 101930.32</v>
          </cell>
          <cell r="E173">
            <v>1000</v>
          </cell>
          <cell r="F173">
            <v>200</v>
          </cell>
          <cell r="G173">
            <v>163</v>
          </cell>
          <cell r="H173">
            <v>44832</v>
          </cell>
          <cell r="I173">
            <v>45946</v>
          </cell>
          <cell r="J173">
            <v>45940</v>
          </cell>
          <cell r="K173">
            <v>0.49359999999999998</v>
          </cell>
          <cell r="L173">
            <v>0.58509999999999995</v>
          </cell>
          <cell r="M173">
            <v>0.6734</v>
          </cell>
          <cell r="N173">
            <v>33</v>
          </cell>
          <cell r="O173">
            <v>44</v>
          </cell>
          <cell r="P173">
            <v>27</v>
          </cell>
          <cell r="Q173">
            <v>71</v>
          </cell>
          <cell r="R173">
            <v>175</v>
          </cell>
          <cell r="S173">
            <v>1</v>
          </cell>
          <cell r="T173">
            <v>1</v>
          </cell>
          <cell r="U173">
            <v>10</v>
          </cell>
          <cell r="V173">
            <v>1</v>
          </cell>
          <cell r="W173">
            <v>13</v>
          </cell>
        </row>
        <row r="174">
          <cell r="A174">
            <v>45901</v>
          </cell>
          <cell r="B174">
            <v>10017</v>
          </cell>
          <cell r="C174" t="str">
            <v>Sim</v>
          </cell>
          <cell r="D174" t="str">
            <v>247149.03 A 449361.88</v>
          </cell>
          <cell r="E174">
            <v>1000</v>
          </cell>
          <cell r="F174">
            <v>200</v>
          </cell>
          <cell r="G174">
            <v>162</v>
          </cell>
          <cell r="H174">
            <v>44802</v>
          </cell>
          <cell r="I174">
            <v>45946</v>
          </cell>
          <cell r="J174">
            <v>45940</v>
          </cell>
          <cell r="K174">
            <v>0.78620000000000001</v>
          </cell>
          <cell r="L174">
            <v>0.7863</v>
          </cell>
          <cell r="M174">
            <v>0.81</v>
          </cell>
          <cell r="N174">
            <v>38</v>
          </cell>
          <cell r="O174">
            <v>49</v>
          </cell>
          <cell r="P174">
            <v>32</v>
          </cell>
          <cell r="Q174">
            <v>137</v>
          </cell>
          <cell r="R174">
            <v>256</v>
          </cell>
          <cell r="S174">
            <v>1</v>
          </cell>
          <cell r="T174">
            <v>1</v>
          </cell>
          <cell r="U174">
            <v>8</v>
          </cell>
          <cell r="V174">
            <v>1</v>
          </cell>
          <cell r="W174">
            <v>11</v>
          </cell>
        </row>
        <row r="175">
          <cell r="A175">
            <v>45901</v>
          </cell>
          <cell r="B175">
            <v>10018</v>
          </cell>
          <cell r="C175" t="str">
            <v>Sim</v>
          </cell>
          <cell r="D175" t="str">
            <v>112340.47 A 224680.93</v>
          </cell>
          <cell r="E175">
            <v>1000</v>
          </cell>
          <cell r="F175">
            <v>200</v>
          </cell>
          <cell r="G175">
            <v>162</v>
          </cell>
          <cell r="H175">
            <v>44802</v>
          </cell>
          <cell r="I175">
            <v>45946</v>
          </cell>
          <cell r="J175">
            <v>45940</v>
          </cell>
          <cell r="K175">
            <v>0.70479999999999998</v>
          </cell>
          <cell r="L175">
            <v>0.70509999999999995</v>
          </cell>
          <cell r="M175">
            <v>0.75109999999999999</v>
          </cell>
          <cell r="N175">
            <v>37</v>
          </cell>
          <cell r="O175">
            <v>55</v>
          </cell>
          <cell r="P175">
            <v>33</v>
          </cell>
          <cell r="Q175">
            <v>115</v>
          </cell>
          <cell r="R175">
            <v>240</v>
          </cell>
          <cell r="S175">
            <v>1</v>
          </cell>
          <cell r="T175">
            <v>1</v>
          </cell>
          <cell r="U175">
            <v>9</v>
          </cell>
          <cell r="V175">
            <v>1</v>
          </cell>
          <cell r="W175">
            <v>12</v>
          </cell>
        </row>
        <row r="176">
          <cell r="A176">
            <v>45901</v>
          </cell>
          <cell r="B176">
            <v>10019</v>
          </cell>
          <cell r="C176" t="str">
            <v>Não</v>
          </cell>
          <cell r="D176" t="str">
            <v>113255.91 A 226511.82</v>
          </cell>
          <cell r="E176">
            <v>1000</v>
          </cell>
          <cell r="F176">
            <v>200</v>
          </cell>
          <cell r="G176">
            <v>163</v>
          </cell>
          <cell r="H176">
            <v>44832</v>
          </cell>
          <cell r="I176">
            <v>45946</v>
          </cell>
          <cell r="J176">
            <v>45940</v>
          </cell>
          <cell r="K176">
            <v>0.61370000000000002</v>
          </cell>
          <cell r="L176">
            <v>0.56999999999999995</v>
          </cell>
          <cell r="M176">
            <v>0.68</v>
          </cell>
          <cell r="N176">
            <v>36</v>
          </cell>
          <cell r="O176">
            <v>43</v>
          </cell>
          <cell r="P176">
            <v>27</v>
          </cell>
          <cell r="Q176">
            <v>91</v>
          </cell>
          <cell r="R176">
            <v>197</v>
          </cell>
          <cell r="S176">
            <v>1</v>
          </cell>
          <cell r="T176">
            <v>1</v>
          </cell>
          <cell r="U176">
            <v>12</v>
          </cell>
          <cell r="V176">
            <v>1</v>
          </cell>
          <cell r="W176">
            <v>15</v>
          </cell>
        </row>
        <row r="177">
          <cell r="A177">
            <v>45901</v>
          </cell>
          <cell r="B177">
            <v>10020</v>
          </cell>
          <cell r="C177" t="str">
            <v>Sim</v>
          </cell>
          <cell r="D177" t="str">
            <v>509651.60 A 1019303.19</v>
          </cell>
          <cell r="E177">
            <v>1000</v>
          </cell>
          <cell r="F177">
            <v>200</v>
          </cell>
          <cell r="G177">
            <v>163</v>
          </cell>
          <cell r="H177">
            <v>44832</v>
          </cell>
          <cell r="I177">
            <v>45946</v>
          </cell>
          <cell r="J177">
            <v>45940</v>
          </cell>
          <cell r="K177">
            <v>0.75549999999999995</v>
          </cell>
          <cell r="L177">
            <v>0.75</v>
          </cell>
          <cell r="M177">
            <v>0.81499999999999995</v>
          </cell>
          <cell r="N177">
            <v>37</v>
          </cell>
          <cell r="O177">
            <v>33</v>
          </cell>
          <cell r="P177">
            <v>31</v>
          </cell>
          <cell r="Q177">
            <v>128</v>
          </cell>
          <cell r="R177">
            <v>229</v>
          </cell>
          <cell r="S177">
            <v>1</v>
          </cell>
          <cell r="T177">
            <v>1</v>
          </cell>
          <cell r="U177">
            <v>11</v>
          </cell>
          <cell r="V177">
            <v>1</v>
          </cell>
          <cell r="W177">
            <v>14</v>
          </cell>
        </row>
        <row r="178">
          <cell r="A178">
            <v>45901</v>
          </cell>
          <cell r="B178">
            <v>10021</v>
          </cell>
          <cell r="C178" t="str">
            <v>Sim</v>
          </cell>
          <cell r="D178" t="str">
            <v>113255.91 A 226511.82</v>
          </cell>
          <cell r="E178">
            <v>2500</v>
          </cell>
          <cell r="F178">
            <v>200</v>
          </cell>
          <cell r="G178">
            <v>163</v>
          </cell>
          <cell r="H178">
            <v>44832</v>
          </cell>
          <cell r="I178">
            <v>45946</v>
          </cell>
          <cell r="J178">
            <v>45940</v>
          </cell>
          <cell r="K178">
            <v>0.72130000000000005</v>
          </cell>
          <cell r="L178">
            <v>0.7</v>
          </cell>
          <cell r="M178">
            <v>0.78049999999999997</v>
          </cell>
          <cell r="N178">
            <v>36</v>
          </cell>
          <cell r="O178">
            <v>47</v>
          </cell>
          <cell r="P178">
            <v>34</v>
          </cell>
          <cell r="Q178">
            <v>464</v>
          </cell>
          <cell r="R178">
            <v>581</v>
          </cell>
          <cell r="S178">
            <v>1</v>
          </cell>
          <cell r="T178">
            <v>1</v>
          </cell>
          <cell r="U178">
            <v>39</v>
          </cell>
          <cell r="V178">
            <v>1</v>
          </cell>
          <cell r="W178">
            <v>42</v>
          </cell>
        </row>
        <row r="179">
          <cell r="A179">
            <v>45901</v>
          </cell>
          <cell r="B179">
            <v>10023</v>
          </cell>
          <cell r="C179" t="str">
            <v>Sim</v>
          </cell>
          <cell r="D179" t="str">
            <v>249163.01 A 453023.64</v>
          </cell>
          <cell r="E179">
            <v>2500</v>
          </cell>
          <cell r="F179">
            <v>200</v>
          </cell>
          <cell r="G179">
            <v>163</v>
          </cell>
          <cell r="H179">
            <v>44832</v>
          </cell>
          <cell r="I179">
            <v>45946</v>
          </cell>
          <cell r="J179">
            <v>45940</v>
          </cell>
          <cell r="K179">
            <v>0.78380000000000005</v>
          </cell>
          <cell r="L179">
            <v>0.75</v>
          </cell>
          <cell r="M179">
            <v>0.81499999999999995</v>
          </cell>
          <cell r="N179">
            <v>36</v>
          </cell>
          <cell r="O179">
            <v>36</v>
          </cell>
          <cell r="P179">
            <v>35</v>
          </cell>
          <cell r="Q179">
            <v>488</v>
          </cell>
          <cell r="R179">
            <v>595</v>
          </cell>
          <cell r="S179">
            <v>1</v>
          </cell>
          <cell r="T179">
            <v>1</v>
          </cell>
          <cell r="U179">
            <v>33</v>
          </cell>
          <cell r="V179">
            <v>1</v>
          </cell>
          <cell r="W179">
            <v>36</v>
          </cell>
        </row>
        <row r="180">
          <cell r="A180">
            <v>45901</v>
          </cell>
          <cell r="B180">
            <v>10024</v>
          </cell>
          <cell r="C180" t="str">
            <v>Sim</v>
          </cell>
          <cell r="D180" t="str">
            <v>108878.64 A 217757.28</v>
          </cell>
          <cell r="E180">
            <v>2500</v>
          </cell>
          <cell r="F180">
            <v>200</v>
          </cell>
          <cell r="G180">
            <v>167</v>
          </cell>
          <cell r="H180">
            <v>44942</v>
          </cell>
          <cell r="I180">
            <v>45946</v>
          </cell>
          <cell r="J180">
            <v>45940</v>
          </cell>
          <cell r="K180">
            <v>0.80259999999999998</v>
          </cell>
          <cell r="L180">
            <v>0.75</v>
          </cell>
          <cell r="M180">
            <v>0.8327</v>
          </cell>
          <cell r="N180">
            <v>32</v>
          </cell>
          <cell r="O180">
            <v>33</v>
          </cell>
          <cell r="P180">
            <v>31</v>
          </cell>
          <cell r="Q180">
            <v>354</v>
          </cell>
          <cell r="R180">
            <v>450</v>
          </cell>
          <cell r="S180">
            <v>1</v>
          </cell>
          <cell r="T180">
            <v>1</v>
          </cell>
          <cell r="U180">
            <v>35</v>
          </cell>
          <cell r="V180">
            <v>1</v>
          </cell>
          <cell r="W180">
            <v>38</v>
          </cell>
        </row>
        <row r="181">
          <cell r="A181">
            <v>45901</v>
          </cell>
          <cell r="B181">
            <v>10025</v>
          </cell>
          <cell r="C181" t="str">
            <v>Sim</v>
          </cell>
          <cell r="D181" t="str">
            <v>108721.27 A 217442.55</v>
          </cell>
          <cell r="E181">
            <v>2500</v>
          </cell>
          <cell r="F181">
            <v>200</v>
          </cell>
          <cell r="G181">
            <v>172</v>
          </cell>
          <cell r="H181">
            <v>45100</v>
          </cell>
          <cell r="I181">
            <v>45946</v>
          </cell>
          <cell r="J181">
            <v>45940</v>
          </cell>
          <cell r="K181">
            <v>0.7903</v>
          </cell>
          <cell r="L181">
            <v>0.8</v>
          </cell>
          <cell r="M181">
            <v>0.82779999999999998</v>
          </cell>
          <cell r="N181">
            <v>28</v>
          </cell>
          <cell r="O181">
            <v>29</v>
          </cell>
          <cell r="P181">
            <v>28</v>
          </cell>
          <cell r="Q181">
            <v>318</v>
          </cell>
          <cell r="R181">
            <v>403</v>
          </cell>
          <cell r="S181">
            <v>1</v>
          </cell>
          <cell r="T181">
            <v>1</v>
          </cell>
          <cell r="U181">
            <v>18</v>
          </cell>
          <cell r="V181">
            <v>1</v>
          </cell>
          <cell r="W181">
            <v>21</v>
          </cell>
        </row>
        <row r="182">
          <cell r="A182">
            <v>45901</v>
          </cell>
          <cell r="B182">
            <v>10026</v>
          </cell>
          <cell r="C182" t="str">
            <v>Não</v>
          </cell>
          <cell r="D182" t="str">
            <v>237413.50 A 431660.90</v>
          </cell>
          <cell r="E182">
            <v>2500</v>
          </cell>
          <cell r="F182">
            <v>200</v>
          </cell>
          <cell r="G182">
            <v>164</v>
          </cell>
          <cell r="H182">
            <v>44858</v>
          </cell>
          <cell r="I182">
            <v>45946</v>
          </cell>
          <cell r="J182">
            <v>45940</v>
          </cell>
          <cell r="K182">
            <v>0.71599999999999997</v>
          </cell>
          <cell r="L182">
            <v>0.67</v>
          </cell>
          <cell r="M182">
            <v>0.80030000000000001</v>
          </cell>
          <cell r="N182">
            <v>36</v>
          </cell>
          <cell r="O182">
            <v>36</v>
          </cell>
          <cell r="P182">
            <v>29</v>
          </cell>
          <cell r="Q182">
            <v>253</v>
          </cell>
          <cell r="R182">
            <v>354</v>
          </cell>
          <cell r="S182">
            <v>1</v>
          </cell>
          <cell r="T182">
            <v>1</v>
          </cell>
          <cell r="U182">
            <v>23</v>
          </cell>
          <cell r="V182">
            <v>1</v>
          </cell>
          <cell r="W182">
            <v>26</v>
          </cell>
        </row>
        <row r="183">
          <cell r="A183">
            <v>45901</v>
          </cell>
          <cell r="B183">
            <v>10027</v>
          </cell>
          <cell r="C183" t="str">
            <v>Sim</v>
          </cell>
          <cell r="D183" t="str">
            <v>489516.03 A 979032.07</v>
          </cell>
          <cell r="E183">
            <v>2500</v>
          </cell>
          <cell r="F183">
            <v>200</v>
          </cell>
          <cell r="G183">
            <v>165</v>
          </cell>
          <cell r="H183">
            <v>44889</v>
          </cell>
          <cell r="I183">
            <v>45946</v>
          </cell>
          <cell r="J183">
            <v>45940</v>
          </cell>
          <cell r="K183">
            <v>0.77739999999999998</v>
          </cell>
          <cell r="L183">
            <v>0.75</v>
          </cell>
          <cell r="M183">
            <v>0.82499999999999996</v>
          </cell>
          <cell r="N183">
            <v>33</v>
          </cell>
          <cell r="O183">
            <v>36</v>
          </cell>
          <cell r="P183">
            <v>33</v>
          </cell>
          <cell r="Q183">
            <v>478</v>
          </cell>
          <cell r="R183">
            <v>580</v>
          </cell>
          <cell r="S183">
            <v>1</v>
          </cell>
          <cell r="T183">
            <v>1</v>
          </cell>
          <cell r="U183">
            <v>38</v>
          </cell>
          <cell r="V183">
            <v>1</v>
          </cell>
          <cell r="W183">
            <v>41</v>
          </cell>
        </row>
        <row r="184">
          <cell r="A184">
            <v>45901</v>
          </cell>
          <cell r="B184">
            <v>10028</v>
          </cell>
          <cell r="C184" t="str">
            <v>Não</v>
          </cell>
          <cell r="D184" t="str">
            <v>108651.54 A 217303.08</v>
          </cell>
          <cell r="E184">
            <v>2500</v>
          </cell>
          <cell r="F184">
            <v>200</v>
          </cell>
          <cell r="G184">
            <v>168</v>
          </cell>
          <cell r="H184">
            <v>44973</v>
          </cell>
          <cell r="I184">
            <v>45946</v>
          </cell>
          <cell r="J184">
            <v>45940</v>
          </cell>
          <cell r="K184">
            <v>0.68989999999999996</v>
          </cell>
          <cell r="L184">
            <v>0.69</v>
          </cell>
          <cell r="M184">
            <v>0.77880000000000005</v>
          </cell>
          <cell r="N184">
            <v>28</v>
          </cell>
          <cell r="O184">
            <v>34</v>
          </cell>
          <cell r="P184">
            <v>29</v>
          </cell>
          <cell r="Q184">
            <v>265</v>
          </cell>
          <cell r="R184">
            <v>356</v>
          </cell>
          <cell r="S184">
            <v>1</v>
          </cell>
          <cell r="T184">
            <v>1</v>
          </cell>
          <cell r="U184">
            <v>24</v>
          </cell>
          <cell r="V184">
            <v>1</v>
          </cell>
          <cell r="W184">
            <v>27</v>
          </cell>
        </row>
        <row r="185">
          <cell r="A185">
            <v>45901</v>
          </cell>
          <cell r="B185">
            <v>10029</v>
          </cell>
          <cell r="C185" t="str">
            <v>Não</v>
          </cell>
          <cell r="D185" t="str">
            <v>54458.06 A 98024.52</v>
          </cell>
          <cell r="E185">
            <v>2500</v>
          </cell>
          <cell r="F185">
            <v>200</v>
          </cell>
          <cell r="G185">
            <v>170</v>
          </cell>
          <cell r="H185">
            <v>45034</v>
          </cell>
          <cell r="I185">
            <v>45946</v>
          </cell>
          <cell r="J185">
            <v>45940</v>
          </cell>
          <cell r="K185">
            <v>0.64259999999999995</v>
          </cell>
          <cell r="L185">
            <v>0.61019999999999996</v>
          </cell>
          <cell r="M185">
            <v>0.69</v>
          </cell>
          <cell r="N185">
            <v>27</v>
          </cell>
          <cell r="O185">
            <v>30</v>
          </cell>
          <cell r="P185">
            <v>22</v>
          </cell>
          <cell r="Q185">
            <v>148</v>
          </cell>
          <cell r="R185">
            <v>227</v>
          </cell>
          <cell r="S185">
            <v>1</v>
          </cell>
          <cell r="T185">
            <v>1</v>
          </cell>
          <cell r="U185">
            <v>12</v>
          </cell>
          <cell r="V185">
            <v>1</v>
          </cell>
          <cell r="W185">
            <v>15</v>
          </cell>
        </row>
        <row r="186">
          <cell r="A186">
            <v>45901</v>
          </cell>
          <cell r="B186">
            <v>10030</v>
          </cell>
          <cell r="C186" t="str">
            <v>Sim</v>
          </cell>
          <cell r="D186" t="str">
            <v>239186.80 A 434885.09</v>
          </cell>
          <cell r="E186">
            <v>2500</v>
          </cell>
          <cell r="F186">
            <v>200</v>
          </cell>
          <cell r="G186">
            <v>172</v>
          </cell>
          <cell r="H186">
            <v>45100</v>
          </cell>
          <cell r="I186">
            <v>45946</v>
          </cell>
          <cell r="J186">
            <v>45940</v>
          </cell>
          <cell r="K186">
            <v>0.79320000000000002</v>
          </cell>
          <cell r="L186">
            <v>0.75019999999999998</v>
          </cell>
          <cell r="M186">
            <v>0.82089999999999996</v>
          </cell>
          <cell r="N186">
            <v>28</v>
          </cell>
          <cell r="O186">
            <v>28</v>
          </cell>
          <cell r="P186">
            <v>27</v>
          </cell>
          <cell r="Q186">
            <v>307</v>
          </cell>
          <cell r="R186">
            <v>390</v>
          </cell>
          <cell r="S186">
            <v>1</v>
          </cell>
          <cell r="T186">
            <v>1</v>
          </cell>
          <cell r="U186">
            <v>31</v>
          </cell>
          <cell r="V186">
            <v>1</v>
          </cell>
          <cell r="W186">
            <v>34</v>
          </cell>
        </row>
        <row r="187">
          <cell r="A187">
            <v>45901</v>
          </cell>
          <cell r="B187">
            <v>10031</v>
          </cell>
          <cell r="C187" t="str">
            <v>Sim</v>
          </cell>
          <cell r="D187" t="str">
            <v>489197.24 A 978394.48</v>
          </cell>
          <cell r="E187">
            <v>2500</v>
          </cell>
          <cell r="F187">
            <v>200</v>
          </cell>
          <cell r="G187">
            <v>173</v>
          </cell>
          <cell r="H187">
            <v>45125</v>
          </cell>
          <cell r="I187">
            <v>45946</v>
          </cell>
          <cell r="J187">
            <v>45940</v>
          </cell>
          <cell r="K187">
            <v>0.80940000000000001</v>
          </cell>
          <cell r="L187">
            <v>0.80049999999999999</v>
          </cell>
          <cell r="M187">
            <v>0.86499999999999999</v>
          </cell>
          <cell r="N187">
            <v>27</v>
          </cell>
          <cell r="O187">
            <v>26</v>
          </cell>
          <cell r="P187">
            <v>26</v>
          </cell>
          <cell r="Q187">
            <v>338</v>
          </cell>
          <cell r="R187">
            <v>417</v>
          </cell>
          <cell r="S187">
            <v>1</v>
          </cell>
          <cell r="T187">
            <v>1</v>
          </cell>
          <cell r="U187">
            <v>31</v>
          </cell>
          <cell r="V187">
            <v>1</v>
          </cell>
          <cell r="W187">
            <v>34</v>
          </cell>
        </row>
        <row r="188">
          <cell r="A188">
            <v>45901</v>
          </cell>
          <cell r="B188">
            <v>10032</v>
          </cell>
          <cell r="C188" t="str">
            <v>Não</v>
          </cell>
          <cell r="D188" t="str">
            <v>54698.52 A 98457.34</v>
          </cell>
          <cell r="E188">
            <v>2500</v>
          </cell>
          <cell r="F188">
            <v>240</v>
          </cell>
          <cell r="G188">
            <v>215</v>
          </cell>
          <cell r="H188">
            <v>45197</v>
          </cell>
          <cell r="I188">
            <v>45946</v>
          </cell>
          <cell r="J188">
            <v>45940</v>
          </cell>
          <cell r="K188">
            <v>0.61109999999999998</v>
          </cell>
          <cell r="L188">
            <v>0.57999999999999996</v>
          </cell>
          <cell r="M188">
            <v>0.72450000000000003</v>
          </cell>
          <cell r="N188">
            <v>23</v>
          </cell>
          <cell r="O188">
            <v>27</v>
          </cell>
          <cell r="P188">
            <v>16</v>
          </cell>
          <cell r="Q188">
            <v>90</v>
          </cell>
          <cell r="R188">
            <v>156</v>
          </cell>
          <cell r="S188">
            <v>1</v>
          </cell>
          <cell r="T188">
            <v>1</v>
          </cell>
          <cell r="U188">
            <v>12</v>
          </cell>
          <cell r="V188">
            <v>1</v>
          </cell>
          <cell r="W188">
            <v>15</v>
          </cell>
        </row>
        <row r="189">
          <cell r="A189">
            <v>45901</v>
          </cell>
          <cell r="B189">
            <v>10033</v>
          </cell>
          <cell r="C189" t="str">
            <v>Não</v>
          </cell>
          <cell r="D189" t="str">
            <v>109397.04 A 218794.08</v>
          </cell>
          <cell r="E189">
            <v>2500</v>
          </cell>
          <cell r="F189">
            <v>240</v>
          </cell>
          <cell r="G189">
            <v>215</v>
          </cell>
          <cell r="H189">
            <v>45188</v>
          </cell>
          <cell r="I189">
            <v>45946</v>
          </cell>
          <cell r="J189">
            <v>45940</v>
          </cell>
          <cell r="K189">
            <v>0.58479999999999999</v>
          </cell>
          <cell r="L189">
            <v>0.51649999999999996</v>
          </cell>
          <cell r="M189">
            <v>0.68559999999999999</v>
          </cell>
          <cell r="N189">
            <v>25</v>
          </cell>
          <cell r="O189">
            <v>25</v>
          </cell>
          <cell r="P189">
            <v>22</v>
          </cell>
          <cell r="Q189">
            <v>126</v>
          </cell>
          <cell r="R189">
            <v>198</v>
          </cell>
          <cell r="S189">
            <v>1</v>
          </cell>
          <cell r="T189">
            <v>1</v>
          </cell>
          <cell r="U189">
            <v>14</v>
          </cell>
          <cell r="V189">
            <v>1</v>
          </cell>
          <cell r="W189">
            <v>17</v>
          </cell>
        </row>
        <row r="190">
          <cell r="A190">
            <v>45901</v>
          </cell>
          <cell r="B190">
            <v>10034</v>
          </cell>
          <cell r="C190" t="str">
            <v>Sim</v>
          </cell>
          <cell r="D190" t="str">
            <v>109397.04 A 218794.08</v>
          </cell>
          <cell r="E190">
            <v>2500</v>
          </cell>
          <cell r="F190">
            <v>200</v>
          </cell>
          <cell r="G190">
            <v>175</v>
          </cell>
          <cell r="H190">
            <v>45188</v>
          </cell>
          <cell r="I190">
            <v>45946</v>
          </cell>
          <cell r="J190">
            <v>45940</v>
          </cell>
          <cell r="K190">
            <v>0.74839999999999995</v>
          </cell>
          <cell r="L190">
            <v>0.75</v>
          </cell>
          <cell r="M190">
            <v>0.875</v>
          </cell>
          <cell r="N190">
            <v>25</v>
          </cell>
          <cell r="O190">
            <v>25</v>
          </cell>
          <cell r="P190">
            <v>24</v>
          </cell>
          <cell r="Q190">
            <v>243</v>
          </cell>
          <cell r="R190">
            <v>317</v>
          </cell>
          <cell r="S190">
            <v>1</v>
          </cell>
          <cell r="T190">
            <v>1</v>
          </cell>
          <cell r="U190">
            <v>17</v>
          </cell>
          <cell r="V190">
            <v>1</v>
          </cell>
          <cell r="W190">
            <v>20</v>
          </cell>
        </row>
        <row r="191">
          <cell r="A191">
            <v>45901</v>
          </cell>
          <cell r="B191">
            <v>10035</v>
          </cell>
          <cell r="C191" t="str">
            <v>Sim</v>
          </cell>
          <cell r="D191" t="str">
            <v>470702.25 A 941404.50</v>
          </cell>
          <cell r="E191">
            <v>2500</v>
          </cell>
          <cell r="F191">
            <v>200</v>
          </cell>
          <cell r="G191">
            <v>178</v>
          </cell>
          <cell r="H191">
            <v>45286</v>
          </cell>
          <cell r="I191">
            <v>45946</v>
          </cell>
          <cell r="J191">
            <v>45940</v>
          </cell>
          <cell r="K191">
            <v>0.82940000000000003</v>
          </cell>
          <cell r="L191">
            <v>0.82</v>
          </cell>
          <cell r="M191">
            <v>0.85719999999999996</v>
          </cell>
          <cell r="N191">
            <v>22</v>
          </cell>
          <cell r="O191">
            <v>20</v>
          </cell>
          <cell r="P191">
            <v>20</v>
          </cell>
          <cell r="Q191">
            <v>213</v>
          </cell>
          <cell r="R191">
            <v>275</v>
          </cell>
          <cell r="S191">
            <v>1</v>
          </cell>
          <cell r="T191">
            <v>1</v>
          </cell>
          <cell r="U191">
            <v>29</v>
          </cell>
          <cell r="V191">
            <v>1</v>
          </cell>
          <cell r="W191">
            <v>32</v>
          </cell>
        </row>
        <row r="192">
          <cell r="A192">
            <v>45901</v>
          </cell>
          <cell r="B192">
            <v>10036</v>
          </cell>
          <cell r="C192" t="str">
            <v>Sim</v>
          </cell>
          <cell r="D192" t="str">
            <v>229183.02 A 416696.40</v>
          </cell>
          <cell r="E192">
            <v>2500</v>
          </cell>
          <cell r="F192">
            <v>200</v>
          </cell>
          <cell r="G192">
            <v>181</v>
          </cell>
          <cell r="H192">
            <v>45369</v>
          </cell>
          <cell r="I192">
            <v>45946</v>
          </cell>
          <cell r="J192">
            <v>45940</v>
          </cell>
          <cell r="K192">
            <v>0.80400000000000005</v>
          </cell>
          <cell r="L192">
            <v>0.80600000000000005</v>
          </cell>
          <cell r="M192">
            <v>0.86899999999999999</v>
          </cell>
          <cell r="N192">
            <v>19</v>
          </cell>
          <cell r="O192">
            <v>20</v>
          </cell>
          <cell r="P192">
            <v>19</v>
          </cell>
          <cell r="Q192">
            <v>136</v>
          </cell>
          <cell r="R192">
            <v>194</v>
          </cell>
          <cell r="S192">
            <v>1</v>
          </cell>
          <cell r="T192">
            <v>1</v>
          </cell>
          <cell r="U192">
            <v>20</v>
          </cell>
          <cell r="V192">
            <v>1</v>
          </cell>
          <cell r="W192">
            <v>23</v>
          </cell>
        </row>
        <row r="193">
          <cell r="A193">
            <v>45901</v>
          </cell>
          <cell r="B193">
            <v>10037</v>
          </cell>
          <cell r="C193" t="str">
            <v>Sim</v>
          </cell>
          <cell r="D193" t="str">
            <v>104866.50 A 209733.00</v>
          </cell>
          <cell r="E193">
            <v>2500</v>
          </cell>
          <cell r="F193">
            <v>200</v>
          </cell>
          <cell r="G193">
            <v>182</v>
          </cell>
          <cell r="H193">
            <v>45398</v>
          </cell>
          <cell r="I193">
            <v>45946</v>
          </cell>
          <cell r="J193">
            <v>45940</v>
          </cell>
          <cell r="K193">
            <v>0.76939999999999997</v>
          </cell>
          <cell r="L193">
            <v>0.78100000000000003</v>
          </cell>
          <cell r="M193">
            <v>0.88470000000000004</v>
          </cell>
          <cell r="N193">
            <v>17</v>
          </cell>
          <cell r="O193">
            <v>19</v>
          </cell>
          <cell r="P193">
            <v>18</v>
          </cell>
          <cell r="Q193">
            <v>138</v>
          </cell>
          <cell r="R193">
            <v>192</v>
          </cell>
          <cell r="S193">
            <v>1</v>
          </cell>
          <cell r="T193">
            <v>1</v>
          </cell>
          <cell r="U193">
            <v>16</v>
          </cell>
          <cell r="V193">
            <v>1</v>
          </cell>
          <cell r="W193">
            <v>19</v>
          </cell>
        </row>
        <row r="194">
          <cell r="A194">
            <v>45901</v>
          </cell>
          <cell r="B194">
            <v>10038</v>
          </cell>
          <cell r="C194" t="str">
            <v>Não</v>
          </cell>
          <cell r="D194" t="str">
            <v>105316.70 A 210633.40</v>
          </cell>
          <cell r="E194">
            <v>2500</v>
          </cell>
          <cell r="F194">
            <v>200</v>
          </cell>
          <cell r="G194">
            <v>184</v>
          </cell>
          <cell r="H194">
            <v>45460</v>
          </cell>
          <cell r="I194">
            <v>45946</v>
          </cell>
          <cell r="J194">
            <v>45940</v>
          </cell>
          <cell r="K194">
            <v>0.68100000000000005</v>
          </cell>
          <cell r="L194">
            <v>0.56499999999999995</v>
          </cell>
          <cell r="M194">
            <v>0.74960000000000004</v>
          </cell>
          <cell r="N194">
            <v>16</v>
          </cell>
          <cell r="O194">
            <v>15</v>
          </cell>
          <cell r="P194">
            <v>14</v>
          </cell>
          <cell r="Q194">
            <v>36</v>
          </cell>
          <cell r="R194">
            <v>81</v>
          </cell>
          <cell r="S194">
            <v>1</v>
          </cell>
          <cell r="T194">
            <v>1</v>
          </cell>
          <cell r="U194">
            <v>10</v>
          </cell>
          <cell r="V194">
            <v>1</v>
          </cell>
          <cell r="W194">
            <v>13</v>
          </cell>
        </row>
        <row r="195">
          <cell r="A195">
            <v>45901</v>
          </cell>
          <cell r="B195">
            <v>10039</v>
          </cell>
          <cell r="C195" t="str">
            <v>Sim</v>
          </cell>
          <cell r="D195" t="str">
            <v>105180.43 A 210360.86</v>
          </cell>
          <cell r="E195">
            <v>2500</v>
          </cell>
          <cell r="F195">
            <v>200</v>
          </cell>
          <cell r="G195">
            <v>186</v>
          </cell>
          <cell r="H195">
            <v>45525</v>
          </cell>
          <cell r="I195">
            <v>45946</v>
          </cell>
          <cell r="J195">
            <v>45940</v>
          </cell>
          <cell r="K195">
            <v>0.75519999999999998</v>
          </cell>
          <cell r="L195">
            <v>0.74450000000000005</v>
          </cell>
          <cell r="M195">
            <v>0.83</v>
          </cell>
          <cell r="N195">
            <v>14</v>
          </cell>
          <cell r="O195">
            <v>14</v>
          </cell>
          <cell r="P195">
            <v>13</v>
          </cell>
          <cell r="Q195">
            <v>101</v>
          </cell>
          <cell r="R195">
            <v>142</v>
          </cell>
          <cell r="S195">
            <v>1</v>
          </cell>
          <cell r="T195">
            <v>1</v>
          </cell>
          <cell r="U195">
            <v>21</v>
          </cell>
          <cell r="V195">
            <v>1</v>
          </cell>
          <cell r="W195">
            <v>24</v>
          </cell>
        </row>
        <row r="196">
          <cell r="A196">
            <v>45901</v>
          </cell>
          <cell r="B196">
            <v>10040</v>
          </cell>
          <cell r="C196" t="str">
            <v>Sim</v>
          </cell>
          <cell r="D196" t="str">
            <v>473075.55 A 946151.10</v>
          </cell>
          <cell r="E196">
            <v>2500</v>
          </cell>
          <cell r="F196">
            <v>200</v>
          </cell>
          <cell r="G196">
            <v>187</v>
          </cell>
          <cell r="H196">
            <v>45551</v>
          </cell>
          <cell r="I196">
            <v>45946</v>
          </cell>
          <cell r="J196">
            <v>45940</v>
          </cell>
          <cell r="K196">
            <v>0.84360000000000002</v>
          </cell>
          <cell r="L196">
            <v>0.83499999999999996</v>
          </cell>
          <cell r="M196">
            <v>0.86670000000000003</v>
          </cell>
          <cell r="N196">
            <v>13</v>
          </cell>
          <cell r="O196">
            <v>13</v>
          </cell>
          <cell r="P196">
            <v>13</v>
          </cell>
          <cell r="Q196">
            <v>69</v>
          </cell>
          <cell r="R196">
            <v>108</v>
          </cell>
          <cell r="S196">
            <v>1</v>
          </cell>
          <cell r="T196">
            <v>1</v>
          </cell>
          <cell r="U196">
            <v>16</v>
          </cell>
          <cell r="V196">
            <v>1</v>
          </cell>
          <cell r="W196">
            <v>19</v>
          </cell>
        </row>
        <row r="197">
          <cell r="A197">
            <v>45901</v>
          </cell>
          <cell r="B197">
            <v>10041</v>
          </cell>
          <cell r="C197" t="str">
            <v>Sim</v>
          </cell>
          <cell r="D197" t="str">
            <v>220000.00 A 400000.00</v>
          </cell>
          <cell r="E197">
            <v>2500</v>
          </cell>
          <cell r="F197">
            <v>200</v>
          </cell>
          <cell r="G197">
            <v>188</v>
          </cell>
          <cell r="H197">
            <v>45581</v>
          </cell>
          <cell r="I197">
            <v>45946</v>
          </cell>
          <cell r="J197">
            <v>45940</v>
          </cell>
          <cell r="K197">
            <v>0.81789999999999996</v>
          </cell>
          <cell r="L197">
            <v>0.753</v>
          </cell>
          <cell r="M197">
            <v>0.87139999999999995</v>
          </cell>
          <cell r="N197">
            <v>12</v>
          </cell>
          <cell r="O197">
            <v>11</v>
          </cell>
          <cell r="P197">
            <v>8</v>
          </cell>
          <cell r="Q197">
            <v>32</v>
          </cell>
          <cell r="R197">
            <v>63</v>
          </cell>
          <cell r="S197">
            <v>1</v>
          </cell>
          <cell r="T197">
            <v>1</v>
          </cell>
          <cell r="U197">
            <v>13</v>
          </cell>
          <cell r="V197">
            <v>1</v>
          </cell>
          <cell r="W197">
            <v>16</v>
          </cell>
        </row>
        <row r="198">
          <cell r="A198">
            <v>45901</v>
          </cell>
          <cell r="B198">
            <v>10042</v>
          </cell>
          <cell r="C198" t="str">
            <v>Não</v>
          </cell>
          <cell r="D198" t="str">
            <v>100000.00 A 200000.00</v>
          </cell>
          <cell r="E198">
            <v>2500</v>
          </cell>
          <cell r="F198">
            <v>240</v>
          </cell>
          <cell r="G198">
            <v>230</v>
          </cell>
          <cell r="H198">
            <v>45642</v>
          </cell>
          <cell r="I198">
            <v>45946</v>
          </cell>
          <cell r="J198">
            <v>45940</v>
          </cell>
          <cell r="K198">
            <v>0.65780000000000005</v>
          </cell>
          <cell r="L198">
            <v>0.6</v>
          </cell>
          <cell r="M198">
            <v>0.8</v>
          </cell>
          <cell r="N198">
            <v>9</v>
          </cell>
          <cell r="O198">
            <v>10</v>
          </cell>
          <cell r="P198">
            <v>9</v>
          </cell>
          <cell r="Q198">
            <v>69</v>
          </cell>
          <cell r="R198">
            <v>97</v>
          </cell>
          <cell r="S198">
            <v>1</v>
          </cell>
          <cell r="T198">
            <v>1</v>
          </cell>
          <cell r="U198">
            <v>17</v>
          </cell>
          <cell r="V198">
            <v>1</v>
          </cell>
          <cell r="W198">
            <v>20</v>
          </cell>
        </row>
        <row r="199">
          <cell r="A199">
            <v>45901</v>
          </cell>
          <cell r="B199">
            <v>10043</v>
          </cell>
          <cell r="C199" t="str">
            <v>Não</v>
          </cell>
          <cell r="D199" t="str">
            <v>45000.00 A 90000.00</v>
          </cell>
          <cell r="E199">
            <v>2500</v>
          </cell>
          <cell r="F199">
            <v>200</v>
          </cell>
          <cell r="G199">
            <v>190</v>
          </cell>
          <cell r="H199">
            <v>45642</v>
          </cell>
          <cell r="I199">
            <v>45946</v>
          </cell>
          <cell r="J199">
            <v>45940</v>
          </cell>
          <cell r="K199">
            <v>0.65329999999999999</v>
          </cell>
          <cell r="L199">
            <v>0.6</v>
          </cell>
          <cell r="M199">
            <v>0.68179999999999996</v>
          </cell>
          <cell r="N199">
            <v>10</v>
          </cell>
          <cell r="O199">
            <v>9</v>
          </cell>
          <cell r="P199">
            <v>9</v>
          </cell>
          <cell r="Q199">
            <v>30</v>
          </cell>
          <cell r="R199">
            <v>58</v>
          </cell>
          <cell r="S199">
            <v>1</v>
          </cell>
          <cell r="T199">
            <v>1</v>
          </cell>
          <cell r="U199">
            <v>6</v>
          </cell>
          <cell r="V199">
            <v>1</v>
          </cell>
          <cell r="W199">
            <v>9</v>
          </cell>
        </row>
        <row r="200">
          <cell r="A200">
            <v>45901</v>
          </cell>
          <cell r="B200">
            <v>10044</v>
          </cell>
          <cell r="C200" t="str">
            <v>Não</v>
          </cell>
          <cell r="D200" t="str">
            <v>100000.00 A 200000.00</v>
          </cell>
          <cell r="E200">
            <v>2500</v>
          </cell>
          <cell r="F200">
            <v>200</v>
          </cell>
          <cell r="G200">
            <v>190</v>
          </cell>
          <cell r="H200">
            <v>45642</v>
          </cell>
          <cell r="I200">
            <v>45946</v>
          </cell>
          <cell r="J200">
            <v>45940</v>
          </cell>
          <cell r="K200">
            <v>0.7006</v>
          </cell>
          <cell r="L200">
            <v>0.65410000000000001</v>
          </cell>
          <cell r="M200">
            <v>0.7</v>
          </cell>
          <cell r="N200">
            <v>10</v>
          </cell>
          <cell r="O200">
            <v>8</v>
          </cell>
          <cell r="P200">
            <v>10</v>
          </cell>
          <cell r="Q200">
            <v>24</v>
          </cell>
          <cell r="R200">
            <v>52</v>
          </cell>
          <cell r="S200">
            <v>1</v>
          </cell>
          <cell r="T200">
            <v>1</v>
          </cell>
          <cell r="U200">
            <v>3</v>
          </cell>
          <cell r="V200">
            <v>1</v>
          </cell>
          <cell r="W200">
            <v>6</v>
          </cell>
        </row>
        <row r="201">
          <cell r="A201">
            <v>45901</v>
          </cell>
          <cell r="B201">
            <v>10045</v>
          </cell>
          <cell r="C201" t="str">
            <v>Não</v>
          </cell>
          <cell r="D201" t="str">
            <v>200000.00 A 400000.00</v>
          </cell>
          <cell r="E201">
            <v>2500</v>
          </cell>
          <cell r="F201">
            <v>200</v>
          </cell>
          <cell r="G201">
            <v>190</v>
          </cell>
          <cell r="H201">
            <v>45642</v>
          </cell>
          <cell r="I201">
            <v>45946</v>
          </cell>
          <cell r="J201">
            <v>45940</v>
          </cell>
          <cell r="K201">
            <v>0.81079999999999997</v>
          </cell>
          <cell r="L201">
            <v>0.7833</v>
          </cell>
          <cell r="M201">
            <v>0.87009999999999998</v>
          </cell>
          <cell r="N201">
            <v>10</v>
          </cell>
          <cell r="O201">
            <v>9</v>
          </cell>
          <cell r="P201">
            <v>7</v>
          </cell>
          <cell r="Q201">
            <v>17</v>
          </cell>
          <cell r="R201">
            <v>43</v>
          </cell>
          <cell r="S201">
            <v>1</v>
          </cell>
          <cell r="T201">
            <v>1</v>
          </cell>
          <cell r="U201">
            <v>5</v>
          </cell>
          <cell r="V201">
            <v>1</v>
          </cell>
          <cell r="W201">
            <v>8</v>
          </cell>
        </row>
        <row r="202">
          <cell r="A202">
            <v>45901</v>
          </cell>
          <cell r="B202">
            <v>10046</v>
          </cell>
          <cell r="C202" t="str">
            <v>Sim</v>
          </cell>
          <cell r="D202" t="str">
            <v>100000.00 A 200000.00</v>
          </cell>
          <cell r="E202">
            <v>2500</v>
          </cell>
          <cell r="F202">
            <v>200</v>
          </cell>
          <cell r="G202">
            <v>190</v>
          </cell>
          <cell r="H202">
            <v>45642</v>
          </cell>
          <cell r="I202">
            <v>45946</v>
          </cell>
          <cell r="J202">
            <v>45940</v>
          </cell>
          <cell r="K202">
            <v>0.77249999999999996</v>
          </cell>
          <cell r="L202">
            <v>0.76</v>
          </cell>
          <cell r="M202">
            <v>0.83330000000000004</v>
          </cell>
          <cell r="N202">
            <v>10</v>
          </cell>
          <cell r="O202">
            <v>10</v>
          </cell>
          <cell r="P202">
            <v>10</v>
          </cell>
          <cell r="Q202">
            <v>59</v>
          </cell>
          <cell r="R202">
            <v>89</v>
          </cell>
          <cell r="S202">
            <v>1</v>
          </cell>
          <cell r="T202">
            <v>1</v>
          </cell>
          <cell r="U202">
            <v>16</v>
          </cell>
          <cell r="V202">
            <v>1</v>
          </cell>
          <cell r="W202">
            <v>19</v>
          </cell>
        </row>
        <row r="203">
          <cell r="A203">
            <v>45901</v>
          </cell>
          <cell r="B203">
            <v>10047</v>
          </cell>
          <cell r="C203" t="str">
            <v>Sim</v>
          </cell>
          <cell r="D203" t="str">
            <v>200000.00 A 400000.00</v>
          </cell>
          <cell r="E203">
            <v>2500</v>
          </cell>
          <cell r="F203">
            <v>200</v>
          </cell>
          <cell r="G203">
            <v>190</v>
          </cell>
          <cell r="H203">
            <v>45642</v>
          </cell>
          <cell r="I203">
            <v>45946</v>
          </cell>
          <cell r="J203">
            <v>45940</v>
          </cell>
          <cell r="K203">
            <v>0.78600000000000003</v>
          </cell>
          <cell r="L203">
            <v>0.8</v>
          </cell>
          <cell r="M203">
            <v>0.81</v>
          </cell>
          <cell r="N203">
            <v>10</v>
          </cell>
          <cell r="O203">
            <v>9</v>
          </cell>
          <cell r="P203">
            <v>10</v>
          </cell>
          <cell r="Q203">
            <v>56</v>
          </cell>
          <cell r="R203">
            <v>85</v>
          </cell>
          <cell r="S203">
            <v>1</v>
          </cell>
          <cell r="T203">
            <v>1</v>
          </cell>
          <cell r="U203">
            <v>6</v>
          </cell>
          <cell r="V203">
            <v>1</v>
          </cell>
          <cell r="W203">
            <v>9</v>
          </cell>
        </row>
        <row r="204">
          <cell r="A204">
            <v>45901</v>
          </cell>
          <cell r="B204">
            <v>10048</v>
          </cell>
          <cell r="C204" t="str">
            <v>Sim</v>
          </cell>
          <cell r="D204" t="str">
            <v>450000.00 A 900000.00</v>
          </cell>
          <cell r="E204">
            <v>2500</v>
          </cell>
          <cell r="F204">
            <v>200</v>
          </cell>
          <cell r="G204">
            <v>190</v>
          </cell>
          <cell r="H204">
            <v>45642</v>
          </cell>
          <cell r="I204">
            <v>45946</v>
          </cell>
          <cell r="J204">
            <v>45940</v>
          </cell>
          <cell r="K204">
            <v>0.80779999999999996</v>
          </cell>
          <cell r="L204">
            <v>0.8</v>
          </cell>
          <cell r="M204">
            <v>0.85</v>
          </cell>
          <cell r="N204">
            <v>10</v>
          </cell>
          <cell r="O204">
            <v>10</v>
          </cell>
          <cell r="P204">
            <v>10</v>
          </cell>
          <cell r="Q204">
            <v>73</v>
          </cell>
          <cell r="R204">
            <v>103</v>
          </cell>
          <cell r="S204">
            <v>1</v>
          </cell>
          <cell r="T204">
            <v>1</v>
          </cell>
          <cell r="U204">
            <v>13</v>
          </cell>
          <cell r="V204">
            <v>1</v>
          </cell>
          <cell r="W204">
            <v>16</v>
          </cell>
        </row>
        <row r="205">
          <cell r="A205">
            <v>45901</v>
          </cell>
          <cell r="B205">
            <v>10049</v>
          </cell>
          <cell r="C205" t="str">
            <v>Sim</v>
          </cell>
          <cell r="D205" t="str">
            <v>100000.00 A 200000.00</v>
          </cell>
          <cell r="E205">
            <v>2500</v>
          </cell>
          <cell r="F205">
            <v>200</v>
          </cell>
          <cell r="G205">
            <v>191</v>
          </cell>
          <cell r="H205">
            <v>45673</v>
          </cell>
          <cell r="I205">
            <v>45946</v>
          </cell>
          <cell r="J205">
            <v>45940</v>
          </cell>
          <cell r="K205">
            <v>0.76800000000000002</v>
          </cell>
          <cell r="L205">
            <v>0.7631</v>
          </cell>
          <cell r="M205">
            <v>0.8</v>
          </cell>
          <cell r="N205">
            <v>9</v>
          </cell>
          <cell r="O205">
            <v>7</v>
          </cell>
          <cell r="P205">
            <v>9</v>
          </cell>
          <cell r="Q205">
            <v>53</v>
          </cell>
          <cell r="R205">
            <v>78</v>
          </cell>
          <cell r="S205">
            <v>1</v>
          </cell>
          <cell r="T205">
            <v>1</v>
          </cell>
          <cell r="U205">
            <v>13</v>
          </cell>
          <cell r="V205">
            <v>1</v>
          </cell>
          <cell r="W205">
            <v>16</v>
          </cell>
        </row>
        <row r="206">
          <cell r="A206">
            <v>45901</v>
          </cell>
          <cell r="B206">
            <v>10050</v>
          </cell>
          <cell r="C206" t="str">
            <v>Sim</v>
          </cell>
          <cell r="D206" t="str">
            <v>450000.00 A 900000.00</v>
          </cell>
          <cell r="E206">
            <v>2500</v>
          </cell>
          <cell r="F206">
            <v>200</v>
          </cell>
          <cell r="G206">
            <v>193</v>
          </cell>
          <cell r="H206">
            <v>45729</v>
          </cell>
          <cell r="I206">
            <v>45946</v>
          </cell>
          <cell r="J206">
            <v>45940</v>
          </cell>
          <cell r="K206">
            <v>0.8266</v>
          </cell>
          <cell r="L206">
            <v>0.77600000000000002</v>
          </cell>
          <cell r="M206">
            <v>0.9</v>
          </cell>
          <cell r="N206">
            <v>7</v>
          </cell>
          <cell r="O206">
            <v>6</v>
          </cell>
          <cell r="P206">
            <v>7</v>
          </cell>
          <cell r="Q206">
            <v>44</v>
          </cell>
          <cell r="R206">
            <v>64</v>
          </cell>
          <cell r="S206">
            <v>1</v>
          </cell>
          <cell r="T206">
            <v>1</v>
          </cell>
          <cell r="U206">
            <v>11</v>
          </cell>
          <cell r="V206">
            <v>1</v>
          </cell>
          <cell r="W206">
            <v>14</v>
          </cell>
        </row>
        <row r="207">
          <cell r="A207">
            <v>45901</v>
          </cell>
          <cell r="B207">
            <v>10051</v>
          </cell>
          <cell r="C207" t="str">
            <v>Sim</v>
          </cell>
          <cell r="D207" t="str">
            <v>100000.00 A 200000.00</v>
          </cell>
          <cell r="E207">
            <v>2500</v>
          </cell>
          <cell r="F207">
            <v>200</v>
          </cell>
          <cell r="G207">
            <v>194</v>
          </cell>
          <cell r="H207">
            <v>45763</v>
          </cell>
          <cell r="I207">
            <v>45946</v>
          </cell>
          <cell r="J207">
            <v>45940</v>
          </cell>
          <cell r="K207">
            <v>0.74650000000000005</v>
          </cell>
          <cell r="L207">
            <v>0.66669999999999996</v>
          </cell>
          <cell r="M207">
            <v>0.8</v>
          </cell>
          <cell r="N207">
            <v>6</v>
          </cell>
          <cell r="O207">
            <v>5</v>
          </cell>
          <cell r="P207">
            <v>6</v>
          </cell>
          <cell r="Q207">
            <v>24</v>
          </cell>
          <cell r="R207">
            <v>41</v>
          </cell>
          <cell r="S207">
            <v>1</v>
          </cell>
          <cell r="T207">
            <v>1</v>
          </cell>
          <cell r="U207">
            <v>15</v>
          </cell>
          <cell r="V207">
            <v>1</v>
          </cell>
          <cell r="W207">
            <v>18</v>
          </cell>
        </row>
        <row r="208">
          <cell r="A208">
            <v>45901</v>
          </cell>
          <cell r="B208">
            <v>10052</v>
          </cell>
          <cell r="C208" t="str">
            <v>Sim</v>
          </cell>
          <cell r="D208" t="str">
            <v>200000.00 A 400000.00</v>
          </cell>
          <cell r="E208">
            <v>2500</v>
          </cell>
          <cell r="F208">
            <v>200</v>
          </cell>
          <cell r="G208">
            <v>195</v>
          </cell>
          <cell r="H208">
            <v>45792</v>
          </cell>
          <cell r="I208">
            <v>45946</v>
          </cell>
          <cell r="J208">
            <v>45940</v>
          </cell>
          <cell r="K208">
            <v>0.77500000000000002</v>
          </cell>
          <cell r="L208">
            <v>0.74299999999999999</v>
          </cell>
          <cell r="M208">
            <v>0.82</v>
          </cell>
          <cell r="N208">
            <v>5</v>
          </cell>
          <cell r="O208">
            <v>5</v>
          </cell>
          <cell r="P208">
            <v>3</v>
          </cell>
          <cell r="Q208">
            <v>20</v>
          </cell>
          <cell r="R208">
            <v>33</v>
          </cell>
          <cell r="S208">
            <v>1</v>
          </cell>
          <cell r="T208">
            <v>1</v>
          </cell>
          <cell r="U208">
            <v>14</v>
          </cell>
          <cell r="V208">
            <v>1</v>
          </cell>
          <cell r="W208">
            <v>17</v>
          </cell>
        </row>
        <row r="209">
          <cell r="A209">
            <v>45901</v>
          </cell>
          <cell r="B209">
            <v>10053</v>
          </cell>
          <cell r="C209" t="str">
            <v>Sim</v>
          </cell>
          <cell r="D209" t="str">
            <v>450000.00 A 900000.00</v>
          </cell>
          <cell r="E209">
            <v>2500</v>
          </cell>
          <cell r="F209">
            <v>200</v>
          </cell>
          <cell r="G209">
            <v>198</v>
          </cell>
          <cell r="H209">
            <v>45883</v>
          </cell>
          <cell r="I209">
            <v>45946</v>
          </cell>
          <cell r="J209">
            <v>45940</v>
          </cell>
          <cell r="K209">
            <v>0.85670000000000002</v>
          </cell>
          <cell r="L209">
            <v>0.85</v>
          </cell>
          <cell r="M209">
            <v>0.9</v>
          </cell>
          <cell r="N209">
            <v>2</v>
          </cell>
          <cell r="O209">
            <v>2</v>
          </cell>
          <cell r="P209">
            <v>2</v>
          </cell>
          <cell r="Q209">
            <v>3</v>
          </cell>
          <cell r="R209">
            <v>9</v>
          </cell>
          <cell r="S209">
            <v>1</v>
          </cell>
          <cell r="T209">
            <v>1</v>
          </cell>
          <cell r="U209">
            <v>2</v>
          </cell>
          <cell r="V209">
            <v>1</v>
          </cell>
          <cell r="W209">
            <v>5</v>
          </cell>
        </row>
        <row r="210">
          <cell r="A210">
            <v>45901</v>
          </cell>
          <cell r="B210">
            <v>10054</v>
          </cell>
          <cell r="C210" t="str">
            <v>Sim</v>
          </cell>
          <cell r="D210" t="str">
            <v>100000.00 A 200000.00</v>
          </cell>
          <cell r="E210">
            <v>2500</v>
          </cell>
          <cell r="F210">
            <v>200</v>
          </cell>
          <cell r="G210">
            <v>198</v>
          </cell>
          <cell r="H210">
            <v>45883</v>
          </cell>
          <cell r="I210">
            <v>45946</v>
          </cell>
          <cell r="J210">
            <v>45940</v>
          </cell>
          <cell r="K210">
            <v>0.7833</v>
          </cell>
          <cell r="L210">
            <v>0.75990000000000002</v>
          </cell>
          <cell r="M210">
            <v>0.8</v>
          </cell>
          <cell r="N210">
            <v>2</v>
          </cell>
          <cell r="O210">
            <v>2</v>
          </cell>
          <cell r="P210">
            <v>2</v>
          </cell>
          <cell r="Q210">
            <v>6</v>
          </cell>
          <cell r="R210">
            <v>12</v>
          </cell>
          <cell r="S210">
            <v>1</v>
          </cell>
          <cell r="T210">
            <v>1</v>
          </cell>
          <cell r="U210">
            <v>6</v>
          </cell>
          <cell r="V210">
            <v>1</v>
          </cell>
          <cell r="W210">
            <v>9</v>
          </cell>
        </row>
        <row r="211">
          <cell r="A211">
            <v>45931</v>
          </cell>
          <cell r="B211">
            <v>10001</v>
          </cell>
          <cell r="C211" t="str">
            <v>Não</v>
          </cell>
          <cell r="D211" t="str">
            <v>58302.01 A 104943.63</v>
          </cell>
          <cell r="E211">
            <v>1000</v>
          </cell>
          <cell r="F211">
            <v>200</v>
          </cell>
          <cell r="G211">
            <v>152</v>
          </cell>
          <cell r="H211">
            <v>44522</v>
          </cell>
          <cell r="I211">
            <v>45974</v>
          </cell>
          <cell r="J211">
            <v>45971</v>
          </cell>
          <cell r="K211">
            <v>0.62819999999999998</v>
          </cell>
          <cell r="L211">
            <v>0.52410000000000001</v>
          </cell>
          <cell r="M211">
            <v>0.65210000000000001</v>
          </cell>
          <cell r="N211">
            <v>47</v>
          </cell>
          <cell r="O211">
            <v>80</v>
          </cell>
          <cell r="P211">
            <v>34</v>
          </cell>
          <cell r="Q211">
            <v>126</v>
          </cell>
          <cell r="R211">
            <v>287</v>
          </cell>
          <cell r="S211">
            <v>1</v>
          </cell>
          <cell r="T211">
            <v>1</v>
          </cell>
          <cell r="U211">
            <v>8</v>
          </cell>
          <cell r="V211">
            <v>1</v>
          </cell>
          <cell r="W211">
            <v>11</v>
          </cell>
        </row>
        <row r="212">
          <cell r="A212">
            <v>45931</v>
          </cell>
          <cell r="B212">
            <v>10002</v>
          </cell>
          <cell r="C212" t="str">
            <v>Não</v>
          </cell>
          <cell r="D212" t="str">
            <v>114331.18 A 228662.37</v>
          </cell>
          <cell r="E212">
            <v>1000</v>
          </cell>
          <cell r="F212">
            <v>200</v>
          </cell>
          <cell r="G212">
            <v>156</v>
          </cell>
          <cell r="H212">
            <v>44641</v>
          </cell>
          <cell r="I212">
            <v>45974</v>
          </cell>
          <cell r="J212">
            <v>45971</v>
          </cell>
          <cell r="K212">
            <v>0.64070000000000005</v>
          </cell>
          <cell r="L212">
            <v>0.6</v>
          </cell>
          <cell r="M212">
            <v>0.66</v>
          </cell>
          <cell r="N212">
            <v>43</v>
          </cell>
          <cell r="O212">
            <v>60</v>
          </cell>
          <cell r="P212">
            <v>38</v>
          </cell>
          <cell r="Q212">
            <v>141</v>
          </cell>
          <cell r="R212">
            <v>282</v>
          </cell>
          <cell r="S212">
            <v>1</v>
          </cell>
          <cell r="T212">
            <v>1</v>
          </cell>
          <cell r="U212">
            <v>10</v>
          </cell>
          <cell r="V212">
            <v>1</v>
          </cell>
          <cell r="W212">
            <v>13</v>
          </cell>
        </row>
        <row r="213">
          <cell r="A213">
            <v>45931</v>
          </cell>
          <cell r="B213">
            <v>10003</v>
          </cell>
          <cell r="C213" t="str">
            <v>Não</v>
          </cell>
          <cell r="D213" t="str">
            <v>251528.60 A 457324.74</v>
          </cell>
          <cell r="E213">
            <v>1000</v>
          </cell>
          <cell r="F213">
            <v>200</v>
          </cell>
          <cell r="G213">
            <v>156</v>
          </cell>
          <cell r="H213">
            <v>44641</v>
          </cell>
          <cell r="I213">
            <v>45974</v>
          </cell>
          <cell r="J213">
            <v>45971</v>
          </cell>
          <cell r="K213">
            <v>0.62039999999999995</v>
          </cell>
          <cell r="L213">
            <v>0.55659999999999998</v>
          </cell>
          <cell r="M213">
            <v>0.78</v>
          </cell>
          <cell r="N213">
            <v>40</v>
          </cell>
          <cell r="O213">
            <v>133</v>
          </cell>
          <cell r="P213">
            <v>32</v>
          </cell>
          <cell r="Q213">
            <v>150</v>
          </cell>
          <cell r="R213">
            <v>355</v>
          </cell>
          <cell r="S213">
            <v>1</v>
          </cell>
          <cell r="T213">
            <v>1</v>
          </cell>
          <cell r="U213">
            <v>12</v>
          </cell>
          <cell r="V213">
            <v>1</v>
          </cell>
          <cell r="W213">
            <v>15</v>
          </cell>
        </row>
        <row r="214">
          <cell r="A214">
            <v>45931</v>
          </cell>
          <cell r="B214">
            <v>10004</v>
          </cell>
          <cell r="C214" t="str">
            <v>Sim</v>
          </cell>
          <cell r="D214" t="str">
            <v>116604.03 A 233208.05</v>
          </cell>
          <cell r="E214">
            <v>1000</v>
          </cell>
          <cell r="F214">
            <v>200</v>
          </cell>
          <cell r="G214">
            <v>152</v>
          </cell>
          <cell r="H214">
            <v>44518</v>
          </cell>
          <cell r="I214">
            <v>45974</v>
          </cell>
          <cell r="J214">
            <v>45971</v>
          </cell>
          <cell r="K214">
            <v>0.69440000000000002</v>
          </cell>
          <cell r="L214">
            <v>0.69</v>
          </cell>
          <cell r="M214">
            <v>0.76</v>
          </cell>
          <cell r="N214">
            <v>47</v>
          </cell>
          <cell r="O214">
            <v>54</v>
          </cell>
          <cell r="P214">
            <v>41</v>
          </cell>
          <cell r="Q214">
            <v>168</v>
          </cell>
          <cell r="R214">
            <v>310</v>
          </cell>
          <cell r="S214">
            <v>1</v>
          </cell>
          <cell r="T214">
            <v>1</v>
          </cell>
          <cell r="U214">
            <v>7</v>
          </cell>
          <cell r="V214">
            <v>1</v>
          </cell>
          <cell r="W214">
            <v>10</v>
          </cell>
        </row>
        <row r="215">
          <cell r="A215">
            <v>45931</v>
          </cell>
          <cell r="B215">
            <v>10005</v>
          </cell>
          <cell r="C215" t="str">
            <v>Sim</v>
          </cell>
          <cell r="D215" t="str">
            <v>256528.85 A 466416.10</v>
          </cell>
          <cell r="E215">
            <v>1000</v>
          </cell>
          <cell r="F215">
            <v>200</v>
          </cell>
          <cell r="G215">
            <v>152</v>
          </cell>
          <cell r="H215">
            <v>44518</v>
          </cell>
          <cell r="I215">
            <v>45974</v>
          </cell>
          <cell r="J215">
            <v>45971</v>
          </cell>
          <cell r="K215">
            <v>0.72989999999999999</v>
          </cell>
          <cell r="L215">
            <v>0.7</v>
          </cell>
          <cell r="M215">
            <v>0.76</v>
          </cell>
          <cell r="N215">
            <v>48</v>
          </cell>
          <cell r="O215">
            <v>51</v>
          </cell>
          <cell r="P215">
            <v>41</v>
          </cell>
          <cell r="Q215">
            <v>189</v>
          </cell>
          <cell r="R215">
            <v>329</v>
          </cell>
          <cell r="S215">
            <v>1</v>
          </cell>
          <cell r="T215">
            <v>1</v>
          </cell>
          <cell r="U215">
            <v>11</v>
          </cell>
          <cell r="V215">
            <v>1</v>
          </cell>
          <cell r="W215">
            <v>14</v>
          </cell>
        </row>
        <row r="216">
          <cell r="A216">
            <v>45931</v>
          </cell>
          <cell r="B216">
            <v>10006</v>
          </cell>
          <cell r="C216" t="str">
            <v>Sim</v>
          </cell>
          <cell r="D216" t="str">
            <v>524718.11 A 1049436.22</v>
          </cell>
          <cell r="E216">
            <v>1000</v>
          </cell>
          <cell r="F216">
            <v>200</v>
          </cell>
          <cell r="G216">
            <v>152</v>
          </cell>
          <cell r="H216">
            <v>44518</v>
          </cell>
          <cell r="I216">
            <v>45974</v>
          </cell>
          <cell r="J216">
            <v>45971</v>
          </cell>
          <cell r="K216">
            <v>0.72240000000000004</v>
          </cell>
          <cell r="L216">
            <v>0.72</v>
          </cell>
          <cell r="M216">
            <v>0.76</v>
          </cell>
          <cell r="N216">
            <v>46</v>
          </cell>
          <cell r="O216">
            <v>61</v>
          </cell>
          <cell r="P216">
            <v>41</v>
          </cell>
          <cell r="Q216">
            <v>229</v>
          </cell>
          <cell r="R216">
            <v>377</v>
          </cell>
          <cell r="S216">
            <v>1</v>
          </cell>
          <cell r="T216">
            <v>1</v>
          </cell>
          <cell r="U216">
            <v>9</v>
          </cell>
          <cell r="V216">
            <v>1</v>
          </cell>
          <cell r="W216">
            <v>12</v>
          </cell>
        </row>
        <row r="217">
          <cell r="A217">
            <v>45931</v>
          </cell>
          <cell r="B217">
            <v>10007</v>
          </cell>
          <cell r="C217" t="str">
            <v>Sim</v>
          </cell>
          <cell r="D217" t="str">
            <v>115097.19 A 230194.37</v>
          </cell>
          <cell r="E217">
            <v>1000</v>
          </cell>
          <cell r="F217">
            <v>200</v>
          </cell>
          <cell r="G217">
            <v>155</v>
          </cell>
          <cell r="H217">
            <v>44613</v>
          </cell>
          <cell r="I217">
            <v>45974</v>
          </cell>
          <cell r="J217">
            <v>45971</v>
          </cell>
          <cell r="K217">
            <v>0.71340000000000003</v>
          </cell>
          <cell r="L217">
            <v>0.66679999999999995</v>
          </cell>
          <cell r="M217">
            <v>0.76859999999999995</v>
          </cell>
          <cell r="N217">
            <v>44</v>
          </cell>
          <cell r="O217">
            <v>111</v>
          </cell>
          <cell r="P217">
            <v>37</v>
          </cell>
          <cell r="Q217">
            <v>178</v>
          </cell>
          <cell r="R217">
            <v>370</v>
          </cell>
          <cell r="S217">
            <v>1</v>
          </cell>
          <cell r="T217">
            <v>1</v>
          </cell>
          <cell r="U217">
            <v>8</v>
          </cell>
          <cell r="V217">
            <v>1</v>
          </cell>
          <cell r="W217">
            <v>11</v>
          </cell>
        </row>
        <row r="218">
          <cell r="A218">
            <v>45931</v>
          </cell>
          <cell r="B218">
            <v>10008</v>
          </cell>
          <cell r="C218" t="str">
            <v>Sim</v>
          </cell>
          <cell r="D218" t="str">
            <v>251528.60 A 457324.74</v>
          </cell>
          <cell r="E218">
            <v>1000</v>
          </cell>
          <cell r="F218">
            <v>200</v>
          </cell>
          <cell r="G218">
            <v>156</v>
          </cell>
          <cell r="H218">
            <v>44641</v>
          </cell>
          <cell r="I218">
            <v>45974</v>
          </cell>
          <cell r="J218">
            <v>45971</v>
          </cell>
          <cell r="K218">
            <v>0.72819999999999996</v>
          </cell>
          <cell r="L218">
            <v>0.70109999999999995</v>
          </cell>
          <cell r="M218">
            <v>0.72509999999999997</v>
          </cell>
          <cell r="N218">
            <v>43</v>
          </cell>
          <cell r="O218">
            <v>89</v>
          </cell>
          <cell r="P218">
            <v>40</v>
          </cell>
          <cell r="Q218">
            <v>175</v>
          </cell>
          <cell r="R218">
            <v>347</v>
          </cell>
          <cell r="S218">
            <v>1</v>
          </cell>
          <cell r="T218">
            <v>1</v>
          </cell>
          <cell r="U218">
            <v>8</v>
          </cell>
          <cell r="V218">
            <v>1</v>
          </cell>
          <cell r="W218">
            <v>11</v>
          </cell>
        </row>
        <row r="219">
          <cell r="A219">
            <v>45931</v>
          </cell>
          <cell r="B219">
            <v>10009</v>
          </cell>
          <cell r="C219" t="str">
            <v>Sim</v>
          </cell>
          <cell r="D219" t="str">
            <v>114331.18 A 228662.37</v>
          </cell>
          <cell r="E219">
            <v>1000</v>
          </cell>
          <cell r="F219">
            <v>200</v>
          </cell>
          <cell r="G219">
            <v>156</v>
          </cell>
          <cell r="H219">
            <v>44641</v>
          </cell>
          <cell r="I219">
            <v>45974</v>
          </cell>
          <cell r="J219">
            <v>45971</v>
          </cell>
          <cell r="K219">
            <v>0.68310000000000004</v>
          </cell>
          <cell r="L219">
            <v>0.68</v>
          </cell>
          <cell r="M219">
            <v>0.7792</v>
          </cell>
          <cell r="N219">
            <v>43</v>
          </cell>
          <cell r="O219">
            <v>81</v>
          </cell>
          <cell r="P219">
            <v>39</v>
          </cell>
          <cell r="Q219">
            <v>157</v>
          </cell>
          <cell r="R219">
            <v>320</v>
          </cell>
          <cell r="S219">
            <v>1</v>
          </cell>
          <cell r="T219">
            <v>1</v>
          </cell>
          <cell r="U219">
            <v>8</v>
          </cell>
          <cell r="V219">
            <v>1</v>
          </cell>
          <cell r="W219">
            <v>11</v>
          </cell>
        </row>
        <row r="220">
          <cell r="A220">
            <v>45931</v>
          </cell>
          <cell r="B220">
            <v>10010</v>
          </cell>
          <cell r="C220" t="str">
            <v>Sim</v>
          </cell>
          <cell r="D220" t="str">
            <v>514490.33 A 1028980.65</v>
          </cell>
          <cell r="E220">
            <v>1000</v>
          </cell>
          <cell r="F220">
            <v>200</v>
          </cell>
          <cell r="G220">
            <v>156</v>
          </cell>
          <cell r="H220">
            <v>44641</v>
          </cell>
          <cell r="I220">
            <v>45974</v>
          </cell>
          <cell r="J220">
            <v>45971</v>
          </cell>
          <cell r="K220">
            <v>0.77500000000000002</v>
          </cell>
          <cell r="L220">
            <v>0.77</v>
          </cell>
          <cell r="M220">
            <v>0.78</v>
          </cell>
          <cell r="N220">
            <v>44</v>
          </cell>
          <cell r="O220">
            <v>67</v>
          </cell>
          <cell r="P220">
            <v>34</v>
          </cell>
          <cell r="Q220">
            <v>201</v>
          </cell>
          <cell r="R220">
            <v>346</v>
          </cell>
          <cell r="S220">
            <v>1</v>
          </cell>
          <cell r="T220">
            <v>1</v>
          </cell>
          <cell r="U220">
            <v>14</v>
          </cell>
          <cell r="V220">
            <v>1</v>
          </cell>
          <cell r="W220">
            <v>17</v>
          </cell>
        </row>
        <row r="221">
          <cell r="A221">
            <v>45931</v>
          </cell>
          <cell r="B221">
            <v>10011</v>
          </cell>
          <cell r="C221" t="str">
            <v>Não</v>
          </cell>
          <cell r="D221" t="str">
            <v>57165.59 A 102898.06</v>
          </cell>
          <cell r="E221">
            <v>1000</v>
          </cell>
          <cell r="F221">
            <v>200</v>
          </cell>
          <cell r="G221">
            <v>156</v>
          </cell>
          <cell r="H221">
            <v>44641</v>
          </cell>
          <cell r="I221">
            <v>45974</v>
          </cell>
          <cell r="J221">
            <v>45971</v>
          </cell>
          <cell r="K221">
            <v>0.53959999999999997</v>
          </cell>
          <cell r="L221">
            <v>0.52500000000000002</v>
          </cell>
          <cell r="M221">
            <v>0.6</v>
          </cell>
          <cell r="N221">
            <v>42</v>
          </cell>
          <cell r="O221">
            <v>45</v>
          </cell>
          <cell r="P221">
            <v>34</v>
          </cell>
          <cell r="Q221">
            <v>107</v>
          </cell>
          <cell r="R221">
            <v>228</v>
          </cell>
          <cell r="S221">
            <v>1</v>
          </cell>
          <cell r="T221">
            <v>1</v>
          </cell>
          <cell r="U221">
            <v>5</v>
          </cell>
          <cell r="V221">
            <v>1</v>
          </cell>
          <cell r="W221">
            <v>8</v>
          </cell>
        </row>
        <row r="222">
          <cell r="A222">
            <v>45931</v>
          </cell>
          <cell r="B222">
            <v>10012</v>
          </cell>
          <cell r="C222" t="str">
            <v>Sim</v>
          </cell>
          <cell r="D222" t="str">
            <v>248357.94 A 451559.90</v>
          </cell>
          <cell r="E222">
            <v>1000</v>
          </cell>
          <cell r="F222">
            <v>200</v>
          </cell>
          <cell r="G222">
            <v>159</v>
          </cell>
          <cell r="H222">
            <v>44732</v>
          </cell>
          <cell r="I222">
            <v>45974</v>
          </cell>
          <cell r="J222">
            <v>45971</v>
          </cell>
          <cell r="K222">
            <v>0.71750000000000003</v>
          </cell>
          <cell r="L222">
            <v>0.68889999999999996</v>
          </cell>
          <cell r="M222">
            <v>0.79500000000000004</v>
          </cell>
          <cell r="N222">
            <v>40</v>
          </cell>
          <cell r="O222">
            <v>83</v>
          </cell>
          <cell r="P222">
            <v>34</v>
          </cell>
          <cell r="Q222">
            <v>162</v>
          </cell>
          <cell r="R222">
            <v>319</v>
          </cell>
          <cell r="S222">
            <v>1</v>
          </cell>
          <cell r="T222">
            <v>1</v>
          </cell>
          <cell r="U222">
            <v>8</v>
          </cell>
          <cell r="V222">
            <v>1</v>
          </cell>
          <cell r="W222">
            <v>11</v>
          </cell>
        </row>
        <row r="223">
          <cell r="A223">
            <v>45931</v>
          </cell>
          <cell r="B223">
            <v>10013</v>
          </cell>
          <cell r="C223" t="str">
            <v>Sim</v>
          </cell>
          <cell r="D223" t="str">
            <v>508004.88 A 1016009.75</v>
          </cell>
          <cell r="E223">
            <v>1000</v>
          </cell>
          <cell r="F223">
            <v>200</v>
          </cell>
          <cell r="G223">
            <v>159</v>
          </cell>
          <cell r="H223">
            <v>44732</v>
          </cell>
          <cell r="I223">
            <v>45974</v>
          </cell>
          <cell r="J223">
            <v>45971</v>
          </cell>
          <cell r="K223">
            <v>0.75819999999999999</v>
          </cell>
          <cell r="L223">
            <v>0.75</v>
          </cell>
          <cell r="M223">
            <v>0.77129999999999999</v>
          </cell>
          <cell r="N223">
            <v>39</v>
          </cell>
          <cell r="O223">
            <v>106</v>
          </cell>
          <cell r="P223">
            <v>33</v>
          </cell>
          <cell r="Q223">
            <v>179</v>
          </cell>
          <cell r="R223">
            <v>357</v>
          </cell>
          <cell r="S223">
            <v>1</v>
          </cell>
          <cell r="T223">
            <v>1</v>
          </cell>
          <cell r="U223">
            <v>8</v>
          </cell>
          <cell r="V223">
            <v>1</v>
          </cell>
          <cell r="W223">
            <v>11</v>
          </cell>
        </row>
        <row r="224">
          <cell r="A224">
            <v>45931</v>
          </cell>
          <cell r="B224">
            <v>10014</v>
          </cell>
          <cell r="C224" t="str">
            <v>Sim</v>
          </cell>
          <cell r="D224" t="str">
            <v>113519.11 A 227038.20</v>
          </cell>
          <cell r="E224">
            <v>1000</v>
          </cell>
          <cell r="F224">
            <v>200</v>
          </cell>
          <cell r="G224">
            <v>158</v>
          </cell>
          <cell r="H224">
            <v>44708</v>
          </cell>
          <cell r="I224">
            <v>45974</v>
          </cell>
          <cell r="J224">
            <v>45971</v>
          </cell>
          <cell r="K224">
            <v>0.69259999999999999</v>
          </cell>
          <cell r="L224">
            <v>0.67620000000000002</v>
          </cell>
          <cell r="M224">
            <v>0.76</v>
          </cell>
          <cell r="N224">
            <v>42</v>
          </cell>
          <cell r="O224">
            <v>91</v>
          </cell>
          <cell r="P224">
            <v>36</v>
          </cell>
          <cell r="Q224">
            <v>153</v>
          </cell>
          <cell r="R224">
            <v>322</v>
          </cell>
          <cell r="S224">
            <v>1</v>
          </cell>
          <cell r="T224">
            <v>1</v>
          </cell>
          <cell r="U224">
            <v>10</v>
          </cell>
          <cell r="V224">
            <v>1</v>
          </cell>
          <cell r="W224">
            <v>13</v>
          </cell>
        </row>
        <row r="225">
          <cell r="A225">
            <v>45931</v>
          </cell>
          <cell r="B225">
            <v>10015</v>
          </cell>
          <cell r="C225" t="str">
            <v>Sim</v>
          </cell>
          <cell r="D225" t="str">
            <v>112777.57 A 225555.15</v>
          </cell>
          <cell r="E225">
            <v>1000</v>
          </cell>
          <cell r="F225">
            <v>200</v>
          </cell>
          <cell r="G225">
            <v>160</v>
          </cell>
          <cell r="H225">
            <v>44760</v>
          </cell>
          <cell r="I225">
            <v>45974</v>
          </cell>
          <cell r="J225">
            <v>45971</v>
          </cell>
          <cell r="K225">
            <v>0.68279999999999996</v>
          </cell>
          <cell r="L225">
            <v>0.66790000000000005</v>
          </cell>
          <cell r="M225">
            <v>0.7</v>
          </cell>
          <cell r="N225">
            <v>40</v>
          </cell>
          <cell r="O225">
            <v>87</v>
          </cell>
          <cell r="P225">
            <v>34</v>
          </cell>
          <cell r="Q225">
            <v>138</v>
          </cell>
          <cell r="R225">
            <v>299</v>
          </cell>
          <cell r="S225">
            <v>1</v>
          </cell>
          <cell r="T225">
            <v>1</v>
          </cell>
          <cell r="U225">
            <v>10</v>
          </cell>
          <cell r="V225">
            <v>1</v>
          </cell>
          <cell r="W225">
            <v>13</v>
          </cell>
        </row>
        <row r="226">
          <cell r="A226">
            <v>45931</v>
          </cell>
          <cell r="B226">
            <v>10016</v>
          </cell>
          <cell r="C226" t="str">
            <v>Não</v>
          </cell>
          <cell r="D226" t="str">
            <v>56627.95 A 101930.32</v>
          </cell>
          <cell r="E226">
            <v>1000</v>
          </cell>
          <cell r="F226">
            <v>200</v>
          </cell>
          <cell r="G226">
            <v>162</v>
          </cell>
          <cell r="H226">
            <v>44832</v>
          </cell>
          <cell r="I226">
            <v>45974</v>
          </cell>
          <cell r="J226">
            <v>45971</v>
          </cell>
          <cell r="K226">
            <v>0.63970000000000005</v>
          </cell>
          <cell r="L226">
            <v>0.62139999999999995</v>
          </cell>
          <cell r="M226">
            <v>0.6744</v>
          </cell>
          <cell r="N226">
            <v>34</v>
          </cell>
          <cell r="O226">
            <v>45</v>
          </cell>
          <cell r="P226">
            <v>28</v>
          </cell>
          <cell r="Q226">
            <v>75</v>
          </cell>
          <cell r="R226">
            <v>182</v>
          </cell>
          <cell r="S226">
            <v>1</v>
          </cell>
          <cell r="T226">
            <v>1</v>
          </cell>
          <cell r="U226">
            <v>4</v>
          </cell>
          <cell r="V226">
            <v>1</v>
          </cell>
          <cell r="W226">
            <v>7</v>
          </cell>
        </row>
        <row r="227">
          <cell r="A227">
            <v>45931</v>
          </cell>
          <cell r="B227">
            <v>10017</v>
          </cell>
          <cell r="C227" t="str">
            <v>Sim</v>
          </cell>
          <cell r="D227" t="str">
            <v>247149.03 A 449361.88</v>
          </cell>
          <cell r="E227">
            <v>1000</v>
          </cell>
          <cell r="F227">
            <v>200</v>
          </cell>
          <cell r="G227">
            <v>161</v>
          </cell>
          <cell r="H227">
            <v>44802</v>
          </cell>
          <cell r="I227">
            <v>45974</v>
          </cell>
          <cell r="J227">
            <v>45971</v>
          </cell>
          <cell r="K227">
            <v>0.79349999999999998</v>
          </cell>
          <cell r="L227">
            <v>0.78210000000000002</v>
          </cell>
          <cell r="M227">
            <v>0.80049999999999999</v>
          </cell>
          <cell r="N227">
            <v>39</v>
          </cell>
          <cell r="O227">
            <v>50</v>
          </cell>
          <cell r="P227">
            <v>33</v>
          </cell>
          <cell r="Q227">
            <v>145</v>
          </cell>
          <cell r="R227">
            <v>267</v>
          </cell>
          <cell r="S227">
            <v>1</v>
          </cell>
          <cell r="T227">
            <v>1</v>
          </cell>
          <cell r="U227">
            <v>9</v>
          </cell>
          <cell r="V227">
            <v>1</v>
          </cell>
          <cell r="W227">
            <v>12</v>
          </cell>
        </row>
        <row r="228">
          <cell r="A228">
            <v>45931</v>
          </cell>
          <cell r="B228">
            <v>10018</v>
          </cell>
          <cell r="C228" t="str">
            <v>Sim</v>
          </cell>
          <cell r="D228" t="str">
            <v>112340.47 A 224680.93</v>
          </cell>
          <cell r="E228">
            <v>1000</v>
          </cell>
          <cell r="F228">
            <v>200</v>
          </cell>
          <cell r="G228">
            <v>161</v>
          </cell>
          <cell r="H228">
            <v>44802</v>
          </cell>
          <cell r="I228">
            <v>45974</v>
          </cell>
          <cell r="J228">
            <v>45971</v>
          </cell>
          <cell r="K228">
            <v>0.7117</v>
          </cell>
          <cell r="L228">
            <v>0.7</v>
          </cell>
          <cell r="M228">
            <v>0.72509999999999997</v>
          </cell>
          <cell r="N228">
            <v>38</v>
          </cell>
          <cell r="O228">
            <v>56</v>
          </cell>
          <cell r="P228">
            <v>34</v>
          </cell>
          <cell r="Q228">
            <v>119</v>
          </cell>
          <cell r="R228">
            <v>247</v>
          </cell>
          <cell r="S228">
            <v>1</v>
          </cell>
          <cell r="T228">
            <v>1</v>
          </cell>
          <cell r="U228">
            <v>6</v>
          </cell>
          <cell r="V228">
            <v>1</v>
          </cell>
          <cell r="W228">
            <v>9</v>
          </cell>
        </row>
        <row r="229">
          <cell r="A229">
            <v>45931</v>
          </cell>
          <cell r="B229">
            <v>10019</v>
          </cell>
          <cell r="C229" t="str">
            <v>Não</v>
          </cell>
          <cell r="D229" t="str">
            <v>113255.91 A 226511.82</v>
          </cell>
          <cell r="E229">
            <v>1000</v>
          </cell>
          <cell r="F229">
            <v>200</v>
          </cell>
          <cell r="G229">
            <v>162</v>
          </cell>
          <cell r="H229">
            <v>44832</v>
          </cell>
          <cell r="I229">
            <v>45974</v>
          </cell>
          <cell r="J229">
            <v>45971</v>
          </cell>
          <cell r="K229">
            <v>0.61509999999999998</v>
          </cell>
          <cell r="L229">
            <v>0.6</v>
          </cell>
          <cell r="M229">
            <v>0.75080000000000002</v>
          </cell>
          <cell r="N229">
            <v>37</v>
          </cell>
          <cell r="O229">
            <v>44</v>
          </cell>
          <cell r="P229">
            <v>28</v>
          </cell>
          <cell r="Q229">
            <v>96</v>
          </cell>
          <cell r="R229">
            <v>205</v>
          </cell>
          <cell r="S229">
            <v>1</v>
          </cell>
          <cell r="T229">
            <v>1</v>
          </cell>
          <cell r="U229">
            <v>6</v>
          </cell>
          <cell r="V229">
            <v>1</v>
          </cell>
          <cell r="W229">
            <v>9</v>
          </cell>
        </row>
        <row r="230">
          <cell r="A230">
            <v>45931</v>
          </cell>
          <cell r="B230">
            <v>10020</v>
          </cell>
          <cell r="C230" t="str">
            <v>Sim</v>
          </cell>
          <cell r="D230" t="str">
            <v>509651.60 A 1019303.19</v>
          </cell>
          <cell r="E230">
            <v>1000</v>
          </cell>
          <cell r="F230">
            <v>200</v>
          </cell>
          <cell r="G230">
            <v>162</v>
          </cell>
          <cell r="H230">
            <v>44832</v>
          </cell>
          <cell r="I230">
            <v>45974</v>
          </cell>
          <cell r="J230">
            <v>45971</v>
          </cell>
          <cell r="K230">
            <v>0.75929999999999997</v>
          </cell>
          <cell r="L230">
            <v>0.755</v>
          </cell>
          <cell r="M230">
            <v>0.81</v>
          </cell>
          <cell r="N230">
            <v>38</v>
          </cell>
          <cell r="O230">
            <v>34</v>
          </cell>
          <cell r="P230">
            <v>32</v>
          </cell>
          <cell r="Q230">
            <v>138</v>
          </cell>
          <cell r="R230">
            <v>242</v>
          </cell>
          <cell r="S230">
            <v>1</v>
          </cell>
          <cell r="T230">
            <v>1</v>
          </cell>
          <cell r="U230">
            <v>13</v>
          </cell>
          <cell r="V230">
            <v>1</v>
          </cell>
          <cell r="W230">
            <v>16</v>
          </cell>
        </row>
        <row r="231">
          <cell r="A231">
            <v>45931</v>
          </cell>
          <cell r="B231">
            <v>10021</v>
          </cell>
          <cell r="C231" t="str">
            <v>Sim</v>
          </cell>
          <cell r="D231" t="str">
            <v>113255.91 A 226511.82</v>
          </cell>
          <cell r="E231">
            <v>2500</v>
          </cell>
          <cell r="F231">
            <v>200</v>
          </cell>
          <cell r="G231">
            <v>162</v>
          </cell>
          <cell r="H231">
            <v>44832</v>
          </cell>
          <cell r="I231">
            <v>45974</v>
          </cell>
          <cell r="J231">
            <v>45971</v>
          </cell>
          <cell r="K231">
            <v>0.73060000000000003</v>
          </cell>
          <cell r="L231">
            <v>0.70209999999999995</v>
          </cell>
          <cell r="M231">
            <v>0.8</v>
          </cell>
          <cell r="N231">
            <v>37</v>
          </cell>
          <cell r="O231">
            <v>48</v>
          </cell>
          <cell r="P231">
            <v>35</v>
          </cell>
          <cell r="Q231">
            <v>485</v>
          </cell>
          <cell r="R231">
            <v>605</v>
          </cell>
          <cell r="S231">
            <v>1</v>
          </cell>
          <cell r="T231">
            <v>1</v>
          </cell>
          <cell r="U231">
            <v>26</v>
          </cell>
          <cell r="V231">
            <v>1</v>
          </cell>
          <cell r="W231">
            <v>29</v>
          </cell>
        </row>
        <row r="232">
          <cell r="A232">
            <v>45931</v>
          </cell>
          <cell r="B232">
            <v>10023</v>
          </cell>
          <cell r="C232" t="str">
            <v>Sim</v>
          </cell>
          <cell r="D232" t="str">
            <v>249163.01 A 453023.64</v>
          </cell>
          <cell r="E232">
            <v>2500</v>
          </cell>
          <cell r="F232">
            <v>200</v>
          </cell>
          <cell r="G232">
            <v>162</v>
          </cell>
          <cell r="H232">
            <v>44832</v>
          </cell>
          <cell r="I232">
            <v>45974</v>
          </cell>
          <cell r="J232">
            <v>45971</v>
          </cell>
          <cell r="K232">
            <v>0.76900000000000002</v>
          </cell>
          <cell r="L232">
            <v>0.74609999999999999</v>
          </cell>
          <cell r="M232">
            <v>0.81</v>
          </cell>
          <cell r="N232">
            <v>37</v>
          </cell>
          <cell r="O232">
            <v>37</v>
          </cell>
          <cell r="P232">
            <v>36</v>
          </cell>
          <cell r="Q232">
            <v>514</v>
          </cell>
          <cell r="R232">
            <v>624</v>
          </cell>
          <cell r="S232">
            <v>1</v>
          </cell>
          <cell r="T232">
            <v>1</v>
          </cell>
          <cell r="U232">
            <v>32</v>
          </cell>
          <cell r="V232">
            <v>1</v>
          </cell>
          <cell r="W232">
            <v>35</v>
          </cell>
        </row>
        <row r="233">
          <cell r="A233">
            <v>45931</v>
          </cell>
          <cell r="B233">
            <v>10024</v>
          </cell>
          <cell r="C233" t="str">
            <v>Sim</v>
          </cell>
          <cell r="D233" t="str">
            <v>108878.64 A 217757.28</v>
          </cell>
          <cell r="E233">
            <v>2500</v>
          </cell>
          <cell r="F233">
            <v>200</v>
          </cell>
          <cell r="G233">
            <v>166</v>
          </cell>
          <cell r="H233">
            <v>44942</v>
          </cell>
          <cell r="I233">
            <v>45974</v>
          </cell>
          <cell r="J233">
            <v>45971</v>
          </cell>
          <cell r="K233">
            <v>0.77490000000000003</v>
          </cell>
          <cell r="L233">
            <v>0.70750000000000002</v>
          </cell>
          <cell r="M233">
            <v>0.83</v>
          </cell>
          <cell r="N233">
            <v>33</v>
          </cell>
          <cell r="O233">
            <v>34</v>
          </cell>
          <cell r="P233">
            <v>32</v>
          </cell>
          <cell r="Q233">
            <v>376</v>
          </cell>
          <cell r="R233">
            <v>475</v>
          </cell>
          <cell r="S233">
            <v>1</v>
          </cell>
          <cell r="T233">
            <v>1</v>
          </cell>
          <cell r="U233">
            <v>33</v>
          </cell>
          <cell r="V233">
            <v>1</v>
          </cell>
          <cell r="W233">
            <v>36</v>
          </cell>
        </row>
        <row r="234">
          <cell r="A234">
            <v>45931</v>
          </cell>
          <cell r="B234">
            <v>10025</v>
          </cell>
          <cell r="C234" t="str">
            <v>Sim</v>
          </cell>
          <cell r="D234" t="str">
            <v>108721.27 A 217442.55</v>
          </cell>
          <cell r="E234">
            <v>2500</v>
          </cell>
          <cell r="F234">
            <v>200</v>
          </cell>
          <cell r="G234">
            <v>171</v>
          </cell>
          <cell r="H234">
            <v>45100</v>
          </cell>
          <cell r="I234">
            <v>45974</v>
          </cell>
          <cell r="J234">
            <v>45971</v>
          </cell>
          <cell r="K234">
            <v>0.80530000000000002</v>
          </cell>
          <cell r="L234">
            <v>0.8</v>
          </cell>
          <cell r="M234">
            <v>0.85499999999999998</v>
          </cell>
          <cell r="N234">
            <v>29</v>
          </cell>
          <cell r="O234">
            <v>30</v>
          </cell>
          <cell r="P234">
            <v>29</v>
          </cell>
          <cell r="Q234">
            <v>344</v>
          </cell>
          <cell r="R234">
            <v>432</v>
          </cell>
          <cell r="S234">
            <v>1</v>
          </cell>
          <cell r="T234">
            <v>1</v>
          </cell>
          <cell r="U234">
            <v>30</v>
          </cell>
          <cell r="V234">
            <v>1</v>
          </cell>
          <cell r="W234">
            <v>33</v>
          </cell>
        </row>
        <row r="235">
          <cell r="A235">
            <v>45931</v>
          </cell>
          <cell r="B235">
            <v>10026</v>
          </cell>
          <cell r="C235" t="str">
            <v>Não</v>
          </cell>
          <cell r="D235" t="str">
            <v>249412.85 A 453477.91</v>
          </cell>
          <cell r="E235">
            <v>2500</v>
          </cell>
          <cell r="F235">
            <v>200</v>
          </cell>
          <cell r="G235">
            <v>163</v>
          </cell>
          <cell r="H235">
            <v>44858</v>
          </cell>
          <cell r="I235">
            <v>45974</v>
          </cell>
          <cell r="J235">
            <v>45971</v>
          </cell>
          <cell r="K235">
            <v>0.71489999999999998</v>
          </cell>
          <cell r="L235">
            <v>0.68300000000000005</v>
          </cell>
          <cell r="M235">
            <v>0.77090000000000003</v>
          </cell>
          <cell r="N235">
            <v>37</v>
          </cell>
          <cell r="O235">
            <v>37</v>
          </cell>
          <cell r="P235">
            <v>30</v>
          </cell>
          <cell r="Q235">
            <v>270</v>
          </cell>
          <cell r="R235">
            <v>374</v>
          </cell>
          <cell r="S235">
            <v>1</v>
          </cell>
          <cell r="T235">
            <v>1</v>
          </cell>
          <cell r="U235">
            <v>19</v>
          </cell>
          <cell r="V235">
            <v>1</v>
          </cell>
          <cell r="W235">
            <v>22</v>
          </cell>
        </row>
        <row r="236">
          <cell r="A236">
            <v>45931</v>
          </cell>
          <cell r="B236">
            <v>10027</v>
          </cell>
          <cell r="C236" t="str">
            <v>Sim</v>
          </cell>
          <cell r="D236" t="str">
            <v>489516.03 A 979032.07</v>
          </cell>
          <cell r="E236">
            <v>2500</v>
          </cell>
          <cell r="F236">
            <v>200</v>
          </cell>
          <cell r="G236">
            <v>164</v>
          </cell>
          <cell r="H236">
            <v>44889</v>
          </cell>
          <cell r="I236">
            <v>45974</v>
          </cell>
          <cell r="J236">
            <v>45971</v>
          </cell>
          <cell r="K236">
            <v>0.77059999999999995</v>
          </cell>
          <cell r="L236">
            <v>0.75209999999999999</v>
          </cell>
          <cell r="M236">
            <v>0.82</v>
          </cell>
          <cell r="N236">
            <v>34</v>
          </cell>
          <cell r="O236">
            <v>37</v>
          </cell>
          <cell r="P236">
            <v>34</v>
          </cell>
          <cell r="Q236">
            <v>504</v>
          </cell>
          <cell r="R236">
            <v>609</v>
          </cell>
          <cell r="S236">
            <v>1</v>
          </cell>
          <cell r="T236">
            <v>1</v>
          </cell>
          <cell r="U236">
            <v>39</v>
          </cell>
          <cell r="V236">
            <v>1</v>
          </cell>
          <cell r="W236">
            <v>42</v>
          </cell>
        </row>
        <row r="237">
          <cell r="A237">
            <v>45931</v>
          </cell>
          <cell r="B237">
            <v>10028</v>
          </cell>
          <cell r="C237" t="str">
            <v>Não</v>
          </cell>
          <cell r="D237" t="str">
            <v>108651.54 A 217303.08</v>
          </cell>
          <cell r="E237">
            <v>2500</v>
          </cell>
          <cell r="F237">
            <v>200</v>
          </cell>
          <cell r="G237">
            <v>167</v>
          </cell>
          <cell r="H237">
            <v>44973</v>
          </cell>
          <cell r="I237">
            <v>45974</v>
          </cell>
          <cell r="J237">
            <v>45971</v>
          </cell>
          <cell r="K237">
            <v>0.70179999999999998</v>
          </cell>
          <cell r="L237">
            <v>0.69499999999999995</v>
          </cell>
          <cell r="M237">
            <v>0.73629999999999995</v>
          </cell>
          <cell r="N237">
            <v>29</v>
          </cell>
          <cell r="O237">
            <v>35</v>
          </cell>
          <cell r="P237">
            <v>30</v>
          </cell>
          <cell r="Q237">
            <v>285</v>
          </cell>
          <cell r="R237">
            <v>379</v>
          </cell>
          <cell r="S237">
            <v>1</v>
          </cell>
          <cell r="T237">
            <v>1</v>
          </cell>
          <cell r="U237">
            <v>23</v>
          </cell>
          <cell r="V237">
            <v>1</v>
          </cell>
          <cell r="W237">
            <v>26</v>
          </cell>
        </row>
        <row r="238">
          <cell r="A238">
            <v>45931</v>
          </cell>
          <cell r="B238">
            <v>10029</v>
          </cell>
          <cell r="C238" t="str">
            <v>Não</v>
          </cell>
          <cell r="D238" t="str">
            <v>54458.06 A 98024.52</v>
          </cell>
          <cell r="E238">
            <v>2500</v>
          </cell>
          <cell r="F238">
            <v>200</v>
          </cell>
          <cell r="G238">
            <v>169</v>
          </cell>
          <cell r="H238">
            <v>45034</v>
          </cell>
          <cell r="I238">
            <v>45974</v>
          </cell>
          <cell r="J238">
            <v>45971</v>
          </cell>
          <cell r="K238">
            <v>0.64259999999999995</v>
          </cell>
          <cell r="L238">
            <v>0.61</v>
          </cell>
          <cell r="M238">
            <v>0.75</v>
          </cell>
          <cell r="N238">
            <v>28</v>
          </cell>
          <cell r="O238">
            <v>31</v>
          </cell>
          <cell r="P238">
            <v>23</v>
          </cell>
          <cell r="Q238">
            <v>157</v>
          </cell>
          <cell r="R238">
            <v>239</v>
          </cell>
          <cell r="S238">
            <v>1</v>
          </cell>
          <cell r="T238">
            <v>1</v>
          </cell>
          <cell r="U238">
            <v>10</v>
          </cell>
          <cell r="V238">
            <v>1</v>
          </cell>
          <cell r="W238">
            <v>13</v>
          </cell>
        </row>
        <row r="239">
          <cell r="A239">
            <v>45931</v>
          </cell>
          <cell r="B239">
            <v>10030</v>
          </cell>
          <cell r="C239" t="str">
            <v>Sim</v>
          </cell>
          <cell r="D239" t="str">
            <v>239186.80 A 434885.09</v>
          </cell>
          <cell r="E239">
            <v>2500</v>
          </cell>
          <cell r="F239">
            <v>200</v>
          </cell>
          <cell r="G239">
            <v>171</v>
          </cell>
          <cell r="H239">
            <v>45100</v>
          </cell>
          <cell r="I239">
            <v>45974</v>
          </cell>
          <cell r="J239">
            <v>45971</v>
          </cell>
          <cell r="K239">
            <v>0.77490000000000003</v>
          </cell>
          <cell r="L239">
            <v>0.75</v>
          </cell>
          <cell r="M239">
            <v>0.8508</v>
          </cell>
          <cell r="N239">
            <v>29</v>
          </cell>
          <cell r="O239">
            <v>29</v>
          </cell>
          <cell r="P239">
            <v>28</v>
          </cell>
          <cell r="Q239">
            <v>326</v>
          </cell>
          <cell r="R239">
            <v>412</v>
          </cell>
          <cell r="S239">
            <v>1</v>
          </cell>
          <cell r="T239">
            <v>1</v>
          </cell>
          <cell r="U239">
            <v>30</v>
          </cell>
          <cell r="V239">
            <v>1</v>
          </cell>
          <cell r="W239">
            <v>33</v>
          </cell>
        </row>
        <row r="240">
          <cell r="A240">
            <v>45931</v>
          </cell>
          <cell r="B240">
            <v>10031</v>
          </cell>
          <cell r="C240" t="str">
            <v>Sim</v>
          </cell>
          <cell r="D240" t="str">
            <v>489197.24 A 978394.48</v>
          </cell>
          <cell r="E240">
            <v>2500</v>
          </cell>
          <cell r="F240">
            <v>200</v>
          </cell>
          <cell r="G240">
            <v>172</v>
          </cell>
          <cell r="H240">
            <v>45125</v>
          </cell>
          <cell r="I240">
            <v>45974</v>
          </cell>
          <cell r="J240">
            <v>45971</v>
          </cell>
          <cell r="K240">
            <v>0.81659999999999999</v>
          </cell>
          <cell r="L240">
            <v>0.80100000000000005</v>
          </cell>
          <cell r="M240">
            <v>0.86</v>
          </cell>
          <cell r="N240">
            <v>28</v>
          </cell>
          <cell r="O240">
            <v>27</v>
          </cell>
          <cell r="P240">
            <v>27</v>
          </cell>
          <cell r="Q240">
            <v>363</v>
          </cell>
          <cell r="R240">
            <v>445</v>
          </cell>
          <cell r="S240">
            <v>1</v>
          </cell>
          <cell r="T240">
            <v>1</v>
          </cell>
          <cell r="U240">
            <v>31</v>
          </cell>
          <cell r="V240">
            <v>1</v>
          </cell>
          <cell r="W240">
            <v>34</v>
          </cell>
        </row>
        <row r="241">
          <cell r="A241">
            <v>45931</v>
          </cell>
          <cell r="B241">
            <v>10032</v>
          </cell>
          <cell r="C241" t="str">
            <v>Não</v>
          </cell>
          <cell r="D241" t="str">
            <v>54698.52 A 98457.34</v>
          </cell>
          <cell r="E241">
            <v>2500</v>
          </cell>
          <cell r="F241">
            <v>240</v>
          </cell>
          <cell r="G241">
            <v>214</v>
          </cell>
          <cell r="H241">
            <v>45197</v>
          </cell>
          <cell r="I241">
            <v>45974</v>
          </cell>
          <cell r="J241">
            <v>45971</v>
          </cell>
          <cell r="K241">
            <v>0.59360000000000002</v>
          </cell>
          <cell r="L241">
            <v>0.55000000000000004</v>
          </cell>
          <cell r="M241">
            <v>0.63990000000000002</v>
          </cell>
          <cell r="N241">
            <v>24</v>
          </cell>
          <cell r="O241">
            <v>28</v>
          </cell>
          <cell r="P241">
            <v>17</v>
          </cell>
          <cell r="Q241">
            <v>103</v>
          </cell>
          <cell r="R241">
            <v>172</v>
          </cell>
          <cell r="S241">
            <v>1</v>
          </cell>
          <cell r="T241">
            <v>1</v>
          </cell>
          <cell r="U241">
            <v>16</v>
          </cell>
          <cell r="V241">
            <v>1</v>
          </cell>
          <cell r="W241">
            <v>19</v>
          </cell>
        </row>
        <row r="242">
          <cell r="A242">
            <v>45931</v>
          </cell>
          <cell r="B242">
            <v>10033</v>
          </cell>
          <cell r="C242" t="str">
            <v>Não</v>
          </cell>
          <cell r="D242" t="str">
            <v>109397.04 A 218794.08</v>
          </cell>
          <cell r="E242">
            <v>2500</v>
          </cell>
          <cell r="F242">
            <v>240</v>
          </cell>
          <cell r="G242">
            <v>214</v>
          </cell>
          <cell r="H242">
            <v>45188</v>
          </cell>
          <cell r="I242">
            <v>45974</v>
          </cell>
          <cell r="J242">
            <v>45971</v>
          </cell>
          <cell r="K242">
            <v>0.54749999999999999</v>
          </cell>
          <cell r="L242">
            <v>0.52100000000000002</v>
          </cell>
          <cell r="M242">
            <v>0.6</v>
          </cell>
          <cell r="N242">
            <v>26</v>
          </cell>
          <cell r="O242">
            <v>26</v>
          </cell>
          <cell r="P242">
            <v>23</v>
          </cell>
          <cell r="Q242">
            <v>141</v>
          </cell>
          <cell r="R242">
            <v>216</v>
          </cell>
          <cell r="S242">
            <v>1</v>
          </cell>
          <cell r="T242">
            <v>1</v>
          </cell>
          <cell r="U242">
            <v>17</v>
          </cell>
          <cell r="V242">
            <v>1</v>
          </cell>
          <cell r="W242">
            <v>20</v>
          </cell>
        </row>
        <row r="243">
          <cell r="A243">
            <v>45931</v>
          </cell>
          <cell r="B243">
            <v>10034</v>
          </cell>
          <cell r="C243" t="str">
            <v>Sim</v>
          </cell>
          <cell r="D243" t="str">
            <v>109397.04 A 218794.08</v>
          </cell>
          <cell r="E243">
            <v>2500</v>
          </cell>
          <cell r="F243">
            <v>200</v>
          </cell>
          <cell r="G243">
            <v>174</v>
          </cell>
          <cell r="H243">
            <v>45188</v>
          </cell>
          <cell r="I243">
            <v>45974</v>
          </cell>
          <cell r="J243">
            <v>45971</v>
          </cell>
          <cell r="K243">
            <v>0.75570000000000004</v>
          </cell>
          <cell r="L243">
            <v>0.76049999999999995</v>
          </cell>
          <cell r="M243">
            <v>0.87</v>
          </cell>
          <cell r="N243">
            <v>26</v>
          </cell>
          <cell r="O243">
            <v>26</v>
          </cell>
          <cell r="P243">
            <v>25</v>
          </cell>
          <cell r="Q243">
            <v>260</v>
          </cell>
          <cell r="R243">
            <v>337</v>
          </cell>
          <cell r="S243">
            <v>1</v>
          </cell>
          <cell r="T243">
            <v>1</v>
          </cell>
          <cell r="U243">
            <v>21</v>
          </cell>
          <cell r="V243">
            <v>1</v>
          </cell>
          <cell r="W243">
            <v>24</v>
          </cell>
        </row>
        <row r="244">
          <cell r="A244">
            <v>45931</v>
          </cell>
          <cell r="B244">
            <v>10035</v>
          </cell>
          <cell r="C244" t="str">
            <v>Sim</v>
          </cell>
          <cell r="D244" t="str">
            <v>470702.25 A 941404.50</v>
          </cell>
          <cell r="E244">
            <v>2500</v>
          </cell>
          <cell r="F244">
            <v>200</v>
          </cell>
          <cell r="G244">
            <v>177</v>
          </cell>
          <cell r="H244">
            <v>45286</v>
          </cell>
          <cell r="I244">
            <v>45974</v>
          </cell>
          <cell r="J244">
            <v>45971</v>
          </cell>
          <cell r="K244">
            <v>0.83</v>
          </cell>
          <cell r="L244">
            <v>0.82</v>
          </cell>
          <cell r="M244">
            <v>0.86040000000000005</v>
          </cell>
          <cell r="N244">
            <v>23</v>
          </cell>
          <cell r="O244">
            <v>21</v>
          </cell>
          <cell r="P244">
            <v>21</v>
          </cell>
          <cell r="Q244">
            <v>243</v>
          </cell>
          <cell r="R244">
            <v>308</v>
          </cell>
          <cell r="S244">
            <v>1</v>
          </cell>
          <cell r="T244">
            <v>1</v>
          </cell>
          <cell r="U244">
            <v>29</v>
          </cell>
          <cell r="V244">
            <v>1</v>
          </cell>
          <cell r="W244">
            <v>32</v>
          </cell>
        </row>
        <row r="245">
          <cell r="A245">
            <v>45931</v>
          </cell>
          <cell r="B245">
            <v>10036</v>
          </cell>
          <cell r="C245" t="str">
            <v>Sim</v>
          </cell>
          <cell r="D245" t="str">
            <v>229183.02 A 416696.40</v>
          </cell>
          <cell r="E245">
            <v>2500</v>
          </cell>
          <cell r="F245">
            <v>200</v>
          </cell>
          <cell r="G245">
            <v>180</v>
          </cell>
          <cell r="H245">
            <v>45369</v>
          </cell>
          <cell r="I245">
            <v>45974</v>
          </cell>
          <cell r="J245">
            <v>45971</v>
          </cell>
          <cell r="K245">
            <v>0.83089999999999997</v>
          </cell>
          <cell r="L245">
            <v>0.83009999999999995</v>
          </cell>
          <cell r="M245">
            <v>0.87</v>
          </cell>
          <cell r="N245">
            <v>20</v>
          </cell>
          <cell r="O245">
            <v>21</v>
          </cell>
          <cell r="P245">
            <v>20</v>
          </cell>
          <cell r="Q245">
            <v>162</v>
          </cell>
          <cell r="R245">
            <v>223</v>
          </cell>
          <cell r="S245">
            <v>1</v>
          </cell>
          <cell r="T245">
            <v>1</v>
          </cell>
          <cell r="U245">
            <v>29</v>
          </cell>
          <cell r="V245">
            <v>1</v>
          </cell>
          <cell r="W245">
            <v>32</v>
          </cell>
        </row>
        <row r="246">
          <cell r="A246">
            <v>45931</v>
          </cell>
          <cell r="B246">
            <v>10037</v>
          </cell>
          <cell r="C246" t="str">
            <v>Sim</v>
          </cell>
          <cell r="D246" t="str">
            <v>104866.50 A 209733.00</v>
          </cell>
          <cell r="E246">
            <v>2500</v>
          </cell>
          <cell r="F246">
            <v>200</v>
          </cell>
          <cell r="G246">
            <v>181</v>
          </cell>
          <cell r="H246">
            <v>45398</v>
          </cell>
          <cell r="I246">
            <v>45974</v>
          </cell>
          <cell r="J246">
            <v>45971</v>
          </cell>
          <cell r="K246">
            <v>0.79210000000000003</v>
          </cell>
          <cell r="L246">
            <v>0.8</v>
          </cell>
          <cell r="M246">
            <v>0.90500000000000003</v>
          </cell>
          <cell r="N246">
            <v>18</v>
          </cell>
          <cell r="O246">
            <v>20</v>
          </cell>
          <cell r="P246">
            <v>19</v>
          </cell>
          <cell r="Q246">
            <v>159</v>
          </cell>
          <cell r="R246">
            <v>216</v>
          </cell>
          <cell r="S246">
            <v>1</v>
          </cell>
          <cell r="T246">
            <v>1</v>
          </cell>
          <cell r="U246">
            <v>23</v>
          </cell>
          <cell r="V246">
            <v>1</v>
          </cell>
          <cell r="W246">
            <v>26</v>
          </cell>
        </row>
        <row r="247">
          <cell r="A247">
            <v>45931</v>
          </cell>
          <cell r="B247">
            <v>10038</v>
          </cell>
          <cell r="C247" t="str">
            <v>Não</v>
          </cell>
          <cell r="D247" t="str">
            <v>105316.70 A 210633.40</v>
          </cell>
          <cell r="E247">
            <v>2500</v>
          </cell>
          <cell r="F247">
            <v>200</v>
          </cell>
          <cell r="G247">
            <v>183</v>
          </cell>
          <cell r="H247">
            <v>45460</v>
          </cell>
          <cell r="I247">
            <v>45974</v>
          </cell>
          <cell r="J247">
            <v>45971</v>
          </cell>
          <cell r="K247">
            <v>0.64100000000000001</v>
          </cell>
          <cell r="L247">
            <v>0.60199999999999998</v>
          </cell>
          <cell r="M247">
            <v>0.91500000000000004</v>
          </cell>
          <cell r="N247">
            <v>17</v>
          </cell>
          <cell r="O247">
            <v>16</v>
          </cell>
          <cell r="P247">
            <v>15</v>
          </cell>
          <cell r="Q247">
            <v>46</v>
          </cell>
          <cell r="R247">
            <v>94</v>
          </cell>
          <cell r="S247">
            <v>1</v>
          </cell>
          <cell r="T247">
            <v>1</v>
          </cell>
          <cell r="U247">
            <v>15</v>
          </cell>
          <cell r="V247">
            <v>1</v>
          </cell>
          <cell r="W247">
            <v>18</v>
          </cell>
        </row>
        <row r="248">
          <cell r="A248">
            <v>45931</v>
          </cell>
          <cell r="B248">
            <v>10039</v>
          </cell>
          <cell r="C248" t="str">
            <v>Sim</v>
          </cell>
          <cell r="D248" t="str">
            <v>105180.43 A 210360.86</v>
          </cell>
          <cell r="E248">
            <v>2500</v>
          </cell>
          <cell r="F248">
            <v>200</v>
          </cell>
          <cell r="G248">
            <v>185</v>
          </cell>
          <cell r="H248">
            <v>45525</v>
          </cell>
          <cell r="I248">
            <v>45974</v>
          </cell>
          <cell r="J248">
            <v>45971</v>
          </cell>
          <cell r="K248">
            <v>0.75509999999999999</v>
          </cell>
          <cell r="L248">
            <v>0.77</v>
          </cell>
          <cell r="M248">
            <v>0.78249999999999997</v>
          </cell>
          <cell r="N248">
            <v>15</v>
          </cell>
          <cell r="O248">
            <v>15</v>
          </cell>
          <cell r="P248">
            <v>14</v>
          </cell>
          <cell r="Q248">
            <v>113</v>
          </cell>
          <cell r="R248">
            <v>157</v>
          </cell>
          <cell r="S248">
            <v>1</v>
          </cell>
          <cell r="T248">
            <v>1</v>
          </cell>
          <cell r="U248">
            <v>14</v>
          </cell>
          <cell r="V248">
            <v>1</v>
          </cell>
          <cell r="W248">
            <v>17</v>
          </cell>
        </row>
        <row r="249">
          <cell r="A249">
            <v>45931</v>
          </cell>
          <cell r="B249">
            <v>10040</v>
          </cell>
          <cell r="C249" t="str">
            <v>Sim</v>
          </cell>
          <cell r="D249" t="str">
            <v>473075.55 A 946151.10</v>
          </cell>
          <cell r="E249">
            <v>2500</v>
          </cell>
          <cell r="F249">
            <v>200</v>
          </cell>
          <cell r="G249">
            <v>186</v>
          </cell>
          <cell r="H249">
            <v>45551</v>
          </cell>
          <cell r="I249">
            <v>45974</v>
          </cell>
          <cell r="J249">
            <v>45971</v>
          </cell>
          <cell r="K249">
            <v>0.84530000000000005</v>
          </cell>
          <cell r="L249">
            <v>0.80010000000000003</v>
          </cell>
          <cell r="M249">
            <v>0.88</v>
          </cell>
          <cell r="N249">
            <v>14</v>
          </cell>
          <cell r="O249">
            <v>14</v>
          </cell>
          <cell r="P249">
            <v>14</v>
          </cell>
          <cell r="Q249">
            <v>95</v>
          </cell>
          <cell r="R249">
            <v>137</v>
          </cell>
          <cell r="S249">
            <v>1</v>
          </cell>
          <cell r="T249">
            <v>1</v>
          </cell>
          <cell r="U249">
            <v>30</v>
          </cell>
          <cell r="V249">
            <v>1</v>
          </cell>
          <cell r="W249">
            <v>33</v>
          </cell>
        </row>
        <row r="250">
          <cell r="A250">
            <v>45931</v>
          </cell>
          <cell r="B250">
            <v>10041</v>
          </cell>
          <cell r="C250" t="str">
            <v>Sim</v>
          </cell>
          <cell r="D250" t="str">
            <v>231119.24 A 420216.80</v>
          </cell>
          <cell r="E250">
            <v>2500</v>
          </cell>
          <cell r="F250">
            <v>200</v>
          </cell>
          <cell r="G250">
            <v>187</v>
          </cell>
          <cell r="H250">
            <v>45581</v>
          </cell>
          <cell r="I250">
            <v>45974</v>
          </cell>
          <cell r="J250">
            <v>45971</v>
          </cell>
          <cell r="K250">
            <v>0.80800000000000005</v>
          </cell>
          <cell r="L250">
            <v>0.75309999999999999</v>
          </cell>
          <cell r="M250">
            <v>0.9</v>
          </cell>
          <cell r="N250">
            <v>13</v>
          </cell>
          <cell r="O250">
            <v>12</v>
          </cell>
          <cell r="P250">
            <v>9</v>
          </cell>
          <cell r="Q250">
            <v>39</v>
          </cell>
          <cell r="R250">
            <v>73</v>
          </cell>
          <cell r="S250">
            <v>1</v>
          </cell>
          <cell r="T250">
            <v>1</v>
          </cell>
          <cell r="U250">
            <v>12</v>
          </cell>
          <cell r="V250">
            <v>1</v>
          </cell>
          <cell r="W250">
            <v>15</v>
          </cell>
        </row>
        <row r="251">
          <cell r="A251">
            <v>45931</v>
          </cell>
          <cell r="B251">
            <v>10042</v>
          </cell>
          <cell r="C251" t="str">
            <v>Não</v>
          </cell>
          <cell r="D251" t="str">
            <v>100000.00 A 200000.00</v>
          </cell>
          <cell r="E251">
            <v>2500</v>
          </cell>
          <cell r="F251">
            <v>240</v>
          </cell>
          <cell r="G251">
            <v>229</v>
          </cell>
          <cell r="H251">
            <v>45642</v>
          </cell>
          <cell r="I251">
            <v>45974</v>
          </cell>
          <cell r="J251">
            <v>45971</v>
          </cell>
          <cell r="K251">
            <v>0.65859999999999996</v>
          </cell>
          <cell r="L251">
            <v>0.65</v>
          </cell>
          <cell r="M251">
            <v>0.78</v>
          </cell>
          <cell r="N251">
            <v>10</v>
          </cell>
          <cell r="O251">
            <v>11</v>
          </cell>
          <cell r="P251">
            <v>10</v>
          </cell>
          <cell r="Q251">
            <v>77</v>
          </cell>
          <cell r="R251">
            <v>108</v>
          </cell>
          <cell r="S251">
            <v>1</v>
          </cell>
          <cell r="T251">
            <v>1</v>
          </cell>
          <cell r="U251">
            <v>14</v>
          </cell>
          <cell r="V251">
            <v>1</v>
          </cell>
          <cell r="W251">
            <v>17</v>
          </cell>
        </row>
        <row r="252">
          <cell r="A252">
            <v>45931</v>
          </cell>
          <cell r="B252">
            <v>10043</v>
          </cell>
          <cell r="C252" t="str">
            <v>Não</v>
          </cell>
          <cell r="D252" t="str">
            <v>45000.00 A 90000.00</v>
          </cell>
          <cell r="E252">
            <v>2500</v>
          </cell>
          <cell r="F252">
            <v>200</v>
          </cell>
          <cell r="G252">
            <v>189</v>
          </cell>
          <cell r="H252">
            <v>45642</v>
          </cell>
          <cell r="I252">
            <v>45974</v>
          </cell>
          <cell r="J252">
            <v>45971</v>
          </cell>
          <cell r="K252">
            <v>0.64429999999999998</v>
          </cell>
          <cell r="L252">
            <v>0.61099999999999999</v>
          </cell>
          <cell r="M252">
            <v>0.66</v>
          </cell>
          <cell r="N252">
            <v>11</v>
          </cell>
          <cell r="O252">
            <v>10</v>
          </cell>
          <cell r="P252">
            <v>10</v>
          </cell>
          <cell r="Q252">
            <v>36</v>
          </cell>
          <cell r="R252">
            <v>67</v>
          </cell>
          <cell r="S252">
            <v>1</v>
          </cell>
          <cell r="T252">
            <v>1</v>
          </cell>
          <cell r="U252">
            <v>8</v>
          </cell>
          <cell r="V252">
            <v>1</v>
          </cell>
          <cell r="W252">
            <v>11</v>
          </cell>
        </row>
        <row r="253">
          <cell r="A253">
            <v>45931</v>
          </cell>
          <cell r="B253">
            <v>10044</v>
          </cell>
          <cell r="C253" t="str">
            <v>Não</v>
          </cell>
          <cell r="D253" t="str">
            <v>100000.00 A 200000.00</v>
          </cell>
          <cell r="E253">
            <v>2500</v>
          </cell>
          <cell r="F253">
            <v>200</v>
          </cell>
          <cell r="G253">
            <v>189</v>
          </cell>
          <cell r="H253">
            <v>45642</v>
          </cell>
          <cell r="I253">
            <v>45974</v>
          </cell>
          <cell r="J253">
            <v>45971</v>
          </cell>
          <cell r="K253">
            <v>0.67789999999999995</v>
          </cell>
          <cell r="L253">
            <v>0.64</v>
          </cell>
          <cell r="M253">
            <v>0.72</v>
          </cell>
          <cell r="N253">
            <v>11</v>
          </cell>
          <cell r="O253">
            <v>9</v>
          </cell>
          <cell r="P253">
            <v>11</v>
          </cell>
          <cell r="Q253">
            <v>28</v>
          </cell>
          <cell r="R253">
            <v>59</v>
          </cell>
          <cell r="S253">
            <v>1</v>
          </cell>
          <cell r="T253">
            <v>1</v>
          </cell>
          <cell r="U253">
            <v>4</v>
          </cell>
          <cell r="V253">
            <v>1</v>
          </cell>
          <cell r="W253">
            <v>7</v>
          </cell>
        </row>
        <row r="254">
          <cell r="A254">
            <v>45931</v>
          </cell>
          <cell r="B254">
            <v>10045</v>
          </cell>
          <cell r="C254" t="str">
            <v>Não</v>
          </cell>
          <cell r="D254" t="str">
            <v>200000.00 A 400000.00</v>
          </cell>
          <cell r="E254">
            <v>2500</v>
          </cell>
          <cell r="F254">
            <v>200</v>
          </cell>
          <cell r="G254">
            <v>189</v>
          </cell>
          <cell r="H254">
            <v>45642</v>
          </cell>
          <cell r="I254">
            <v>45974</v>
          </cell>
          <cell r="J254">
            <v>45971</v>
          </cell>
          <cell r="K254">
            <v>0.79139999999999999</v>
          </cell>
          <cell r="L254">
            <v>0.68</v>
          </cell>
          <cell r="M254">
            <v>0.8</v>
          </cell>
          <cell r="N254">
            <v>11</v>
          </cell>
          <cell r="O254">
            <v>10</v>
          </cell>
          <cell r="P254">
            <v>8</v>
          </cell>
          <cell r="Q254">
            <v>21</v>
          </cell>
          <cell r="R254">
            <v>50</v>
          </cell>
          <cell r="S254">
            <v>1</v>
          </cell>
          <cell r="T254">
            <v>1</v>
          </cell>
          <cell r="U254">
            <v>5</v>
          </cell>
          <cell r="V254">
            <v>1</v>
          </cell>
          <cell r="W254">
            <v>8</v>
          </cell>
        </row>
        <row r="255">
          <cell r="A255">
            <v>45931</v>
          </cell>
          <cell r="B255">
            <v>10046</v>
          </cell>
          <cell r="C255" t="str">
            <v>Sim</v>
          </cell>
          <cell r="D255" t="str">
            <v>100000.00 A 200000.00</v>
          </cell>
          <cell r="E255">
            <v>2500</v>
          </cell>
          <cell r="F255">
            <v>200</v>
          </cell>
          <cell r="G255">
            <v>189</v>
          </cell>
          <cell r="H255">
            <v>45642</v>
          </cell>
          <cell r="I255">
            <v>45974</v>
          </cell>
          <cell r="J255">
            <v>45971</v>
          </cell>
          <cell r="K255">
            <v>0.78520000000000001</v>
          </cell>
          <cell r="L255">
            <v>0.8</v>
          </cell>
          <cell r="M255">
            <v>0.8</v>
          </cell>
          <cell r="N255">
            <v>11</v>
          </cell>
          <cell r="O255">
            <v>11</v>
          </cell>
          <cell r="P255">
            <v>11</v>
          </cell>
          <cell r="Q255">
            <v>67</v>
          </cell>
          <cell r="R255">
            <v>100</v>
          </cell>
          <cell r="S255">
            <v>1</v>
          </cell>
          <cell r="T255">
            <v>1</v>
          </cell>
          <cell r="U255">
            <v>14</v>
          </cell>
          <cell r="V255">
            <v>1</v>
          </cell>
          <cell r="W255">
            <v>17</v>
          </cell>
        </row>
        <row r="256">
          <cell r="A256">
            <v>45931</v>
          </cell>
          <cell r="B256">
            <v>10047</v>
          </cell>
          <cell r="C256" t="str">
            <v>Sim</v>
          </cell>
          <cell r="D256" t="str">
            <v>200000.00 A 400000.00</v>
          </cell>
          <cell r="E256">
            <v>2500</v>
          </cell>
          <cell r="F256">
            <v>200</v>
          </cell>
          <cell r="G256">
            <v>189</v>
          </cell>
          <cell r="H256">
            <v>45642</v>
          </cell>
          <cell r="I256">
            <v>45974</v>
          </cell>
          <cell r="J256">
            <v>45971</v>
          </cell>
          <cell r="K256">
            <v>0.79349999999999998</v>
          </cell>
          <cell r="L256">
            <v>0.78</v>
          </cell>
          <cell r="M256">
            <v>0.83</v>
          </cell>
          <cell r="N256">
            <v>11</v>
          </cell>
          <cell r="O256">
            <v>10</v>
          </cell>
          <cell r="P256">
            <v>11</v>
          </cell>
          <cell r="Q256">
            <v>66</v>
          </cell>
          <cell r="R256">
            <v>98</v>
          </cell>
          <cell r="S256">
            <v>1</v>
          </cell>
          <cell r="T256">
            <v>1</v>
          </cell>
          <cell r="U256">
            <v>13</v>
          </cell>
          <cell r="V256">
            <v>1</v>
          </cell>
          <cell r="W256">
            <v>16</v>
          </cell>
        </row>
        <row r="257">
          <cell r="A257">
            <v>45931</v>
          </cell>
          <cell r="B257">
            <v>10048</v>
          </cell>
          <cell r="C257" t="str">
            <v>Sim</v>
          </cell>
          <cell r="D257" t="str">
            <v>450000.00 A 900000.00</v>
          </cell>
          <cell r="E257">
            <v>2500</v>
          </cell>
          <cell r="F257">
            <v>200</v>
          </cell>
          <cell r="G257">
            <v>189</v>
          </cell>
          <cell r="H257">
            <v>45642</v>
          </cell>
          <cell r="I257">
            <v>45974</v>
          </cell>
          <cell r="J257">
            <v>45971</v>
          </cell>
          <cell r="K257">
            <v>0.80669999999999997</v>
          </cell>
          <cell r="L257">
            <v>0.8</v>
          </cell>
          <cell r="M257">
            <v>0.82499999999999996</v>
          </cell>
          <cell r="N257">
            <v>11</v>
          </cell>
          <cell r="O257">
            <v>11</v>
          </cell>
          <cell r="P257">
            <v>11</v>
          </cell>
          <cell r="Q257">
            <v>80</v>
          </cell>
          <cell r="R257">
            <v>113</v>
          </cell>
          <cell r="S257">
            <v>1</v>
          </cell>
          <cell r="T257">
            <v>1</v>
          </cell>
          <cell r="U257">
            <v>14</v>
          </cell>
          <cell r="V257">
            <v>1</v>
          </cell>
          <cell r="W257">
            <v>17</v>
          </cell>
        </row>
        <row r="258">
          <cell r="A258">
            <v>45931</v>
          </cell>
          <cell r="B258">
            <v>10049</v>
          </cell>
          <cell r="C258" t="str">
            <v>Sim</v>
          </cell>
          <cell r="D258" t="str">
            <v>100000.00 A 200000.00</v>
          </cell>
          <cell r="E258">
            <v>2500</v>
          </cell>
          <cell r="F258">
            <v>200</v>
          </cell>
          <cell r="G258">
            <v>190</v>
          </cell>
          <cell r="H258">
            <v>45673</v>
          </cell>
          <cell r="I258">
            <v>45974</v>
          </cell>
          <cell r="J258">
            <v>45971</v>
          </cell>
          <cell r="K258">
            <v>0.78220000000000001</v>
          </cell>
          <cell r="L258">
            <v>0.77410000000000001</v>
          </cell>
          <cell r="M258">
            <v>0.82</v>
          </cell>
          <cell r="N258">
            <v>10</v>
          </cell>
          <cell r="O258">
            <v>8</v>
          </cell>
          <cell r="P258">
            <v>10</v>
          </cell>
          <cell r="Q258">
            <v>60</v>
          </cell>
          <cell r="R258">
            <v>88</v>
          </cell>
          <cell r="S258">
            <v>1</v>
          </cell>
          <cell r="T258">
            <v>1</v>
          </cell>
          <cell r="U258">
            <v>10</v>
          </cell>
          <cell r="V258">
            <v>1</v>
          </cell>
          <cell r="W258">
            <v>13</v>
          </cell>
        </row>
        <row r="259">
          <cell r="A259">
            <v>45931</v>
          </cell>
          <cell r="B259">
            <v>10050</v>
          </cell>
          <cell r="C259" t="str">
            <v>Sim</v>
          </cell>
          <cell r="D259" t="str">
            <v>450000.00 A 900000.00</v>
          </cell>
          <cell r="E259">
            <v>2500</v>
          </cell>
          <cell r="F259">
            <v>200</v>
          </cell>
          <cell r="G259">
            <v>192</v>
          </cell>
          <cell r="H259">
            <v>45729</v>
          </cell>
          <cell r="I259">
            <v>45974</v>
          </cell>
          <cell r="J259">
            <v>45971</v>
          </cell>
          <cell r="K259">
            <v>0.82379999999999998</v>
          </cell>
          <cell r="L259">
            <v>0.8</v>
          </cell>
          <cell r="M259">
            <v>0.87780000000000002</v>
          </cell>
          <cell r="N259">
            <v>8</v>
          </cell>
          <cell r="O259">
            <v>7</v>
          </cell>
          <cell r="P259">
            <v>8</v>
          </cell>
          <cell r="Q259">
            <v>50</v>
          </cell>
          <cell r="R259">
            <v>73</v>
          </cell>
          <cell r="S259">
            <v>1</v>
          </cell>
          <cell r="T259">
            <v>1</v>
          </cell>
          <cell r="U259">
            <v>9</v>
          </cell>
          <cell r="V259">
            <v>1</v>
          </cell>
          <cell r="W259">
            <v>12</v>
          </cell>
        </row>
        <row r="260">
          <cell r="A260">
            <v>45931</v>
          </cell>
          <cell r="B260">
            <v>10051</v>
          </cell>
          <cell r="C260" t="str">
            <v>Sim</v>
          </cell>
          <cell r="D260" t="str">
            <v>100000.00 A 200000.00</v>
          </cell>
          <cell r="E260">
            <v>2500</v>
          </cell>
          <cell r="F260">
            <v>200</v>
          </cell>
          <cell r="G260">
            <v>193</v>
          </cell>
          <cell r="H260">
            <v>45763</v>
          </cell>
          <cell r="I260">
            <v>45974</v>
          </cell>
          <cell r="J260">
            <v>45971</v>
          </cell>
          <cell r="K260">
            <v>0.76529999999999998</v>
          </cell>
          <cell r="L260">
            <v>0.76700000000000002</v>
          </cell>
          <cell r="M260">
            <v>0.96</v>
          </cell>
          <cell r="N260">
            <v>7</v>
          </cell>
          <cell r="O260">
            <v>6</v>
          </cell>
          <cell r="P260">
            <v>7</v>
          </cell>
          <cell r="Q260">
            <v>30</v>
          </cell>
          <cell r="R260">
            <v>50</v>
          </cell>
          <cell r="S260">
            <v>1</v>
          </cell>
          <cell r="T260">
            <v>1</v>
          </cell>
          <cell r="U260">
            <v>12</v>
          </cell>
          <cell r="V260">
            <v>1</v>
          </cell>
          <cell r="W260">
            <v>15</v>
          </cell>
        </row>
        <row r="261">
          <cell r="A261">
            <v>45931</v>
          </cell>
          <cell r="B261">
            <v>10052</v>
          </cell>
          <cell r="C261" t="str">
            <v>Sim</v>
          </cell>
          <cell r="D261" t="str">
            <v>200000.00 A 400000.00</v>
          </cell>
          <cell r="E261">
            <v>2500</v>
          </cell>
          <cell r="F261">
            <v>200</v>
          </cell>
          <cell r="G261">
            <v>194</v>
          </cell>
          <cell r="H261">
            <v>45792</v>
          </cell>
          <cell r="I261">
            <v>45974</v>
          </cell>
          <cell r="J261">
            <v>45971</v>
          </cell>
          <cell r="K261">
            <v>0.7903</v>
          </cell>
          <cell r="L261">
            <v>0.75</v>
          </cell>
          <cell r="M261">
            <v>0.87</v>
          </cell>
          <cell r="N261">
            <v>6</v>
          </cell>
          <cell r="O261">
            <v>6</v>
          </cell>
          <cell r="P261">
            <v>4</v>
          </cell>
          <cell r="Q261">
            <v>23</v>
          </cell>
          <cell r="R261">
            <v>39</v>
          </cell>
          <cell r="S261">
            <v>1</v>
          </cell>
          <cell r="T261">
            <v>1</v>
          </cell>
          <cell r="U261">
            <v>13</v>
          </cell>
          <cell r="V261">
            <v>1</v>
          </cell>
          <cell r="W261">
            <v>16</v>
          </cell>
        </row>
        <row r="262">
          <cell r="A262">
            <v>45931</v>
          </cell>
          <cell r="B262">
            <v>10053</v>
          </cell>
          <cell r="C262" t="str">
            <v>Sim</v>
          </cell>
          <cell r="D262" t="str">
            <v>450000.00 A 900000.00</v>
          </cell>
          <cell r="E262">
            <v>2500</v>
          </cell>
          <cell r="F262">
            <v>200</v>
          </cell>
          <cell r="G262">
            <v>197</v>
          </cell>
          <cell r="H262">
            <v>45883</v>
          </cell>
          <cell r="I262">
            <v>45974</v>
          </cell>
          <cell r="J262">
            <v>45971</v>
          </cell>
          <cell r="K262">
            <v>0.82630000000000003</v>
          </cell>
          <cell r="L262">
            <v>0.81659999999999999</v>
          </cell>
          <cell r="M262">
            <v>0.85670000000000002</v>
          </cell>
          <cell r="N262">
            <v>3</v>
          </cell>
          <cell r="O262">
            <v>3</v>
          </cell>
          <cell r="P262">
            <v>3</v>
          </cell>
          <cell r="Q262">
            <v>7</v>
          </cell>
          <cell r="R262">
            <v>16</v>
          </cell>
          <cell r="S262">
            <v>1</v>
          </cell>
          <cell r="T262">
            <v>1</v>
          </cell>
          <cell r="U262">
            <v>5</v>
          </cell>
          <cell r="V262">
            <v>1</v>
          </cell>
          <cell r="W262">
            <v>8</v>
          </cell>
        </row>
        <row r="263">
          <cell r="A263">
            <v>45931</v>
          </cell>
          <cell r="B263">
            <v>10054</v>
          </cell>
          <cell r="C263" t="str">
            <v>Sim</v>
          </cell>
          <cell r="D263" t="str">
            <v>100000.00 A 200000.00</v>
          </cell>
          <cell r="E263">
            <v>2500</v>
          </cell>
          <cell r="F263">
            <v>200</v>
          </cell>
          <cell r="G263">
            <v>197</v>
          </cell>
          <cell r="H263">
            <v>45883</v>
          </cell>
          <cell r="I263">
            <v>45974</v>
          </cell>
          <cell r="J263">
            <v>45971</v>
          </cell>
          <cell r="K263">
            <v>0.79249999999999998</v>
          </cell>
          <cell r="L263">
            <v>0.77</v>
          </cell>
          <cell r="M263">
            <v>0.82</v>
          </cell>
          <cell r="N263">
            <v>3</v>
          </cell>
          <cell r="O263">
            <v>3</v>
          </cell>
          <cell r="P263">
            <v>3</v>
          </cell>
          <cell r="Q263">
            <v>11</v>
          </cell>
          <cell r="R263">
            <v>20</v>
          </cell>
          <cell r="S263">
            <v>1</v>
          </cell>
          <cell r="T263">
            <v>1</v>
          </cell>
          <cell r="U263">
            <v>10</v>
          </cell>
          <cell r="V263">
            <v>1</v>
          </cell>
          <cell r="W263">
            <v>13</v>
          </cell>
        </row>
        <row r="264">
          <cell r="A264">
            <v>45931</v>
          </cell>
          <cell r="B264">
            <v>10055</v>
          </cell>
          <cell r="C264" t="str">
            <v>Sim</v>
          </cell>
          <cell r="D264" t="str">
            <v>100000.00 A 200000.00</v>
          </cell>
          <cell r="E264">
            <v>2500</v>
          </cell>
          <cell r="F264">
            <v>200</v>
          </cell>
          <cell r="G264">
            <v>199</v>
          </cell>
          <cell r="H264">
            <v>45946</v>
          </cell>
          <cell r="I264">
            <v>45974</v>
          </cell>
          <cell r="J264">
            <v>45971</v>
          </cell>
          <cell r="K264">
            <v>0.74199999999999999</v>
          </cell>
          <cell r="L264">
            <v>0.70699999999999996</v>
          </cell>
          <cell r="M264">
            <v>0.77700000000000002</v>
          </cell>
          <cell r="N264">
            <v>1</v>
          </cell>
          <cell r="O264">
            <v>1</v>
          </cell>
          <cell r="P264">
            <v>1</v>
          </cell>
          <cell r="Q264">
            <v>2</v>
          </cell>
          <cell r="R264">
            <v>5</v>
          </cell>
          <cell r="S264">
            <v>1</v>
          </cell>
          <cell r="T264">
            <v>1</v>
          </cell>
          <cell r="U264">
            <v>2</v>
          </cell>
          <cell r="V264">
            <v>1</v>
          </cell>
          <cell r="W264">
            <v>5</v>
          </cell>
        </row>
        <row r="265">
          <cell r="A265">
            <v>45962</v>
          </cell>
          <cell r="B265">
            <v>10001</v>
          </cell>
          <cell r="C265" t="str">
            <v>Não</v>
          </cell>
          <cell r="D265" t="str">
            <v>61273.14 A 110291.66</v>
          </cell>
          <cell r="E265">
            <v>1000</v>
          </cell>
          <cell r="F265">
            <v>200</v>
          </cell>
          <cell r="G265">
            <v>151</v>
          </cell>
          <cell r="H265">
            <v>44522</v>
          </cell>
          <cell r="I265">
            <v>46006</v>
          </cell>
          <cell r="J265">
            <v>46001</v>
          </cell>
          <cell r="K265">
            <v>0.58450000000000002</v>
          </cell>
          <cell r="L265">
            <v>0.55379999999999996</v>
          </cell>
          <cell r="M265">
            <v>0.65280000000000005</v>
          </cell>
          <cell r="N265">
            <v>48</v>
          </cell>
          <cell r="O265">
            <v>81</v>
          </cell>
          <cell r="P265">
            <v>35</v>
          </cell>
          <cell r="Q265">
            <v>130</v>
          </cell>
          <cell r="R265">
            <v>294</v>
          </cell>
          <cell r="S265">
            <v>1</v>
          </cell>
          <cell r="T265">
            <v>1</v>
          </cell>
          <cell r="U265">
            <v>6</v>
          </cell>
          <cell r="V265">
            <v>1</v>
          </cell>
          <cell r="W265">
            <v>9</v>
          </cell>
        </row>
        <row r="266">
          <cell r="A266">
            <v>45962</v>
          </cell>
          <cell r="B266">
            <v>10002</v>
          </cell>
          <cell r="C266" t="str">
            <v>Não</v>
          </cell>
          <cell r="D266" t="str">
            <v>114331.18 A 228662.37</v>
          </cell>
          <cell r="E266">
            <v>1000</v>
          </cell>
          <cell r="F266">
            <v>200</v>
          </cell>
          <cell r="G266">
            <v>155</v>
          </cell>
          <cell r="H266">
            <v>44641</v>
          </cell>
          <cell r="I266">
            <v>46006</v>
          </cell>
          <cell r="J266">
            <v>46001</v>
          </cell>
          <cell r="K266">
            <v>0.623</v>
          </cell>
          <cell r="L266">
            <v>0.5736</v>
          </cell>
          <cell r="M266">
            <v>0.71099999999999997</v>
          </cell>
          <cell r="N266">
            <v>44</v>
          </cell>
          <cell r="O266">
            <v>61</v>
          </cell>
          <cell r="P266">
            <v>39</v>
          </cell>
          <cell r="Q266">
            <v>149</v>
          </cell>
          <cell r="R266">
            <v>293</v>
          </cell>
          <cell r="S266">
            <v>1</v>
          </cell>
          <cell r="T266">
            <v>1</v>
          </cell>
          <cell r="U266">
            <v>10</v>
          </cell>
          <cell r="V266">
            <v>1</v>
          </cell>
          <cell r="W266">
            <v>13</v>
          </cell>
        </row>
        <row r="267">
          <cell r="A267">
            <v>45962</v>
          </cell>
          <cell r="B267">
            <v>10003</v>
          </cell>
          <cell r="C267" t="str">
            <v>Não</v>
          </cell>
          <cell r="D267" t="str">
            <v>251528.60 A 457324.74</v>
          </cell>
          <cell r="E267">
            <v>1000</v>
          </cell>
          <cell r="F267">
            <v>200</v>
          </cell>
          <cell r="G267">
            <v>155</v>
          </cell>
          <cell r="H267">
            <v>44641</v>
          </cell>
          <cell r="I267">
            <v>46006</v>
          </cell>
          <cell r="J267">
            <v>46001</v>
          </cell>
          <cell r="K267">
            <v>0.60040000000000004</v>
          </cell>
          <cell r="L267">
            <v>0.59899999999999998</v>
          </cell>
          <cell r="M267">
            <v>0.77500000000000002</v>
          </cell>
          <cell r="N267">
            <v>41</v>
          </cell>
          <cell r="O267">
            <v>134</v>
          </cell>
          <cell r="P267">
            <v>33</v>
          </cell>
          <cell r="Q267">
            <v>154</v>
          </cell>
          <cell r="R267">
            <v>362</v>
          </cell>
          <cell r="S267">
            <v>1</v>
          </cell>
          <cell r="T267">
            <v>1</v>
          </cell>
          <cell r="U267">
            <v>6</v>
          </cell>
          <cell r="V267">
            <v>1</v>
          </cell>
          <cell r="W267">
            <v>9</v>
          </cell>
        </row>
        <row r="268">
          <cell r="A268">
            <v>45962</v>
          </cell>
          <cell r="B268">
            <v>10004</v>
          </cell>
          <cell r="C268" t="str">
            <v>Sim</v>
          </cell>
          <cell r="D268" t="str">
            <v>122546.29 A 245092.57</v>
          </cell>
          <cell r="E268">
            <v>1000</v>
          </cell>
          <cell r="F268">
            <v>200</v>
          </cell>
          <cell r="G268">
            <v>151</v>
          </cell>
          <cell r="H268">
            <v>44518</v>
          </cell>
          <cell r="I268">
            <v>46006</v>
          </cell>
          <cell r="J268">
            <v>46001</v>
          </cell>
          <cell r="K268">
            <v>0.69899999999999995</v>
          </cell>
          <cell r="L268">
            <v>0.7</v>
          </cell>
          <cell r="M268">
            <v>0.71319999999999995</v>
          </cell>
          <cell r="N268">
            <v>48</v>
          </cell>
          <cell r="O268">
            <v>55</v>
          </cell>
          <cell r="P268">
            <v>42</v>
          </cell>
          <cell r="Q268">
            <v>174</v>
          </cell>
          <cell r="R268">
            <v>319</v>
          </cell>
          <cell r="S268">
            <v>1</v>
          </cell>
          <cell r="T268">
            <v>1</v>
          </cell>
          <cell r="U268">
            <v>7</v>
          </cell>
          <cell r="V268">
            <v>1</v>
          </cell>
          <cell r="W268">
            <v>10</v>
          </cell>
        </row>
        <row r="269">
          <cell r="A269">
            <v>45962</v>
          </cell>
          <cell r="B269">
            <v>10005</v>
          </cell>
          <cell r="C269" t="str">
            <v>Sim</v>
          </cell>
          <cell r="D269" t="str">
            <v>269601.82 A 490185.13</v>
          </cell>
          <cell r="E269">
            <v>1000</v>
          </cell>
          <cell r="F269">
            <v>200</v>
          </cell>
          <cell r="G269">
            <v>151</v>
          </cell>
          <cell r="H269">
            <v>44518</v>
          </cell>
          <cell r="I269">
            <v>46006</v>
          </cell>
          <cell r="J269">
            <v>46001</v>
          </cell>
          <cell r="K269">
            <v>0.72089999999999999</v>
          </cell>
          <cell r="L269">
            <v>0.71</v>
          </cell>
          <cell r="M269">
            <v>0.73099999999999998</v>
          </cell>
          <cell r="N269">
            <v>49</v>
          </cell>
          <cell r="O269">
            <v>52</v>
          </cell>
          <cell r="P269">
            <v>42</v>
          </cell>
          <cell r="Q269">
            <v>196</v>
          </cell>
          <cell r="R269">
            <v>339</v>
          </cell>
          <cell r="S269">
            <v>1</v>
          </cell>
          <cell r="T269">
            <v>1</v>
          </cell>
          <cell r="U269">
            <v>9</v>
          </cell>
          <cell r="V269">
            <v>1</v>
          </cell>
          <cell r="W269">
            <v>12</v>
          </cell>
        </row>
        <row r="270">
          <cell r="A270">
            <v>45962</v>
          </cell>
          <cell r="B270">
            <v>10006</v>
          </cell>
          <cell r="C270" t="str">
            <v>Sim</v>
          </cell>
          <cell r="D270" t="str">
            <v>551458.27 A 1102916.54</v>
          </cell>
          <cell r="E270">
            <v>1000</v>
          </cell>
          <cell r="F270">
            <v>200</v>
          </cell>
          <cell r="G270">
            <v>151</v>
          </cell>
          <cell r="H270">
            <v>44518</v>
          </cell>
          <cell r="I270">
            <v>46006</v>
          </cell>
          <cell r="J270">
            <v>46001</v>
          </cell>
          <cell r="K270">
            <v>0.72919999999999996</v>
          </cell>
          <cell r="L270">
            <v>0.72</v>
          </cell>
          <cell r="M270">
            <v>0.755</v>
          </cell>
          <cell r="N270">
            <v>47</v>
          </cell>
          <cell r="O270">
            <v>62</v>
          </cell>
          <cell r="P270">
            <v>42</v>
          </cell>
          <cell r="Q270">
            <v>239</v>
          </cell>
          <cell r="R270">
            <v>390</v>
          </cell>
          <cell r="S270">
            <v>1</v>
          </cell>
          <cell r="T270">
            <v>1</v>
          </cell>
          <cell r="U270">
            <v>13</v>
          </cell>
          <cell r="V270">
            <v>1</v>
          </cell>
          <cell r="W270">
            <v>16</v>
          </cell>
        </row>
        <row r="271">
          <cell r="A271">
            <v>45962</v>
          </cell>
          <cell r="B271">
            <v>10007</v>
          </cell>
          <cell r="C271" t="str">
            <v>Sim</v>
          </cell>
          <cell r="D271" t="str">
            <v>115097.19 A 230194.37</v>
          </cell>
          <cell r="E271">
            <v>1000</v>
          </cell>
          <cell r="F271">
            <v>200</v>
          </cell>
          <cell r="G271">
            <v>154</v>
          </cell>
          <cell r="H271">
            <v>44613</v>
          </cell>
          <cell r="I271">
            <v>46006</v>
          </cell>
          <cell r="J271">
            <v>46001</v>
          </cell>
          <cell r="K271">
            <v>0.6915</v>
          </cell>
          <cell r="L271">
            <v>0.65</v>
          </cell>
          <cell r="M271">
            <v>0.71789999999999998</v>
          </cell>
          <cell r="N271">
            <v>45</v>
          </cell>
          <cell r="O271">
            <v>112</v>
          </cell>
          <cell r="P271">
            <v>38</v>
          </cell>
          <cell r="Q271">
            <v>182</v>
          </cell>
          <cell r="R271">
            <v>377</v>
          </cell>
          <cell r="S271">
            <v>1</v>
          </cell>
          <cell r="T271">
            <v>1</v>
          </cell>
          <cell r="U271">
            <v>7</v>
          </cell>
          <cell r="V271">
            <v>1</v>
          </cell>
          <cell r="W271">
            <v>10</v>
          </cell>
        </row>
        <row r="272">
          <cell r="A272">
            <v>45962</v>
          </cell>
          <cell r="B272">
            <v>10008</v>
          </cell>
          <cell r="C272" t="str">
            <v>Sim</v>
          </cell>
          <cell r="D272" t="str">
            <v>251528.60 A 457324.74</v>
          </cell>
          <cell r="E272">
            <v>1000</v>
          </cell>
          <cell r="F272">
            <v>200</v>
          </cell>
          <cell r="G272">
            <v>155</v>
          </cell>
          <cell r="H272">
            <v>44641</v>
          </cell>
          <cell r="I272">
            <v>46006</v>
          </cell>
          <cell r="J272">
            <v>46001</v>
          </cell>
          <cell r="K272">
            <v>0.70640000000000003</v>
          </cell>
          <cell r="L272">
            <v>0.66220000000000001</v>
          </cell>
          <cell r="M272">
            <v>0.73</v>
          </cell>
          <cell r="N272">
            <v>44</v>
          </cell>
          <cell r="O272">
            <v>90</v>
          </cell>
          <cell r="P272">
            <v>41</v>
          </cell>
          <cell r="Q272">
            <v>183</v>
          </cell>
          <cell r="R272">
            <v>358</v>
          </cell>
          <cell r="S272">
            <v>1</v>
          </cell>
          <cell r="T272">
            <v>1</v>
          </cell>
          <cell r="U272">
            <v>13</v>
          </cell>
          <cell r="V272">
            <v>1</v>
          </cell>
          <cell r="W272">
            <v>16</v>
          </cell>
        </row>
        <row r="273">
          <cell r="A273">
            <v>45962</v>
          </cell>
          <cell r="B273">
            <v>10009</v>
          </cell>
          <cell r="C273" t="str">
            <v>Sim</v>
          </cell>
          <cell r="D273" t="str">
            <v>114331.18 A 228662.37</v>
          </cell>
          <cell r="E273">
            <v>1000</v>
          </cell>
          <cell r="F273">
            <v>200</v>
          </cell>
          <cell r="G273">
            <v>155</v>
          </cell>
          <cell r="H273">
            <v>44641</v>
          </cell>
          <cell r="I273">
            <v>46006</v>
          </cell>
          <cell r="J273">
            <v>46001</v>
          </cell>
          <cell r="K273">
            <v>0.69869999999999999</v>
          </cell>
          <cell r="L273">
            <v>0.71009999999999995</v>
          </cell>
          <cell r="M273">
            <v>0.76</v>
          </cell>
          <cell r="N273">
            <v>44</v>
          </cell>
          <cell r="O273">
            <v>82</v>
          </cell>
          <cell r="P273">
            <v>40</v>
          </cell>
          <cell r="Q273">
            <v>164</v>
          </cell>
          <cell r="R273">
            <v>330</v>
          </cell>
          <cell r="S273">
            <v>1</v>
          </cell>
          <cell r="T273">
            <v>1</v>
          </cell>
          <cell r="U273">
            <v>7</v>
          </cell>
          <cell r="V273">
            <v>1</v>
          </cell>
          <cell r="W273">
            <v>10</v>
          </cell>
        </row>
        <row r="274">
          <cell r="A274">
            <v>45962</v>
          </cell>
          <cell r="B274">
            <v>10010</v>
          </cell>
          <cell r="C274" t="str">
            <v>Sim</v>
          </cell>
          <cell r="D274" t="str">
            <v>514490.33 A 1028980.65</v>
          </cell>
          <cell r="E274">
            <v>1000</v>
          </cell>
          <cell r="F274">
            <v>200</v>
          </cell>
          <cell r="G274">
            <v>155</v>
          </cell>
          <cell r="H274">
            <v>44641</v>
          </cell>
          <cell r="I274">
            <v>46006</v>
          </cell>
          <cell r="J274">
            <v>46001</v>
          </cell>
          <cell r="K274">
            <v>0.77439999999999998</v>
          </cell>
          <cell r="L274">
            <v>0.77500000000000002</v>
          </cell>
          <cell r="M274">
            <v>0.77500000000000002</v>
          </cell>
          <cell r="N274">
            <v>45</v>
          </cell>
          <cell r="O274">
            <v>68</v>
          </cell>
          <cell r="P274">
            <v>35</v>
          </cell>
          <cell r="Q274">
            <v>205</v>
          </cell>
          <cell r="R274">
            <v>353</v>
          </cell>
          <cell r="S274">
            <v>1</v>
          </cell>
          <cell r="T274">
            <v>1</v>
          </cell>
          <cell r="U274">
            <v>6</v>
          </cell>
          <cell r="V274">
            <v>1</v>
          </cell>
          <cell r="W274">
            <v>9</v>
          </cell>
        </row>
        <row r="275">
          <cell r="A275">
            <v>45962</v>
          </cell>
          <cell r="B275">
            <v>10011</v>
          </cell>
          <cell r="C275" t="str">
            <v>Não</v>
          </cell>
          <cell r="D275" t="str">
            <v>57165.59 A 102898.06</v>
          </cell>
          <cell r="E275">
            <v>1000</v>
          </cell>
          <cell r="F275">
            <v>200</v>
          </cell>
          <cell r="G275">
            <v>155</v>
          </cell>
          <cell r="H275">
            <v>44641</v>
          </cell>
          <cell r="I275">
            <v>46006</v>
          </cell>
          <cell r="J275">
            <v>46001</v>
          </cell>
          <cell r="K275">
            <v>0.54210000000000003</v>
          </cell>
          <cell r="L275">
            <v>0.53</v>
          </cell>
          <cell r="M275">
            <v>0.59</v>
          </cell>
          <cell r="N275">
            <v>43</v>
          </cell>
          <cell r="O275">
            <v>46</v>
          </cell>
          <cell r="P275">
            <v>35</v>
          </cell>
          <cell r="Q275">
            <v>113</v>
          </cell>
          <cell r="R275">
            <v>237</v>
          </cell>
          <cell r="S275">
            <v>1</v>
          </cell>
          <cell r="T275">
            <v>1</v>
          </cell>
          <cell r="U275">
            <v>8</v>
          </cell>
          <cell r="V275">
            <v>1</v>
          </cell>
          <cell r="W275">
            <v>11</v>
          </cell>
        </row>
        <row r="276">
          <cell r="A276">
            <v>45962</v>
          </cell>
          <cell r="B276">
            <v>10012</v>
          </cell>
          <cell r="C276" t="str">
            <v>Sim</v>
          </cell>
          <cell r="D276" t="str">
            <v>248357.94 A 451559.90</v>
          </cell>
          <cell r="E276">
            <v>1000</v>
          </cell>
          <cell r="F276">
            <v>200</v>
          </cell>
          <cell r="G276">
            <v>158</v>
          </cell>
          <cell r="H276">
            <v>44732</v>
          </cell>
          <cell r="I276">
            <v>46006</v>
          </cell>
          <cell r="J276">
            <v>46001</v>
          </cell>
          <cell r="K276">
            <v>0.71140000000000003</v>
          </cell>
          <cell r="L276">
            <v>0.67220000000000002</v>
          </cell>
          <cell r="M276">
            <v>0.79</v>
          </cell>
          <cell r="N276">
            <v>41</v>
          </cell>
          <cell r="O276">
            <v>84</v>
          </cell>
          <cell r="P276">
            <v>35</v>
          </cell>
          <cell r="Q276">
            <v>169</v>
          </cell>
          <cell r="R276">
            <v>329</v>
          </cell>
          <cell r="S276">
            <v>1</v>
          </cell>
          <cell r="T276">
            <v>1</v>
          </cell>
          <cell r="U276">
            <v>9</v>
          </cell>
          <cell r="V276">
            <v>1</v>
          </cell>
          <cell r="W276">
            <v>12</v>
          </cell>
        </row>
        <row r="277">
          <cell r="A277">
            <v>45962</v>
          </cell>
          <cell r="B277">
            <v>10013</v>
          </cell>
          <cell r="C277" t="str">
            <v>Sim</v>
          </cell>
          <cell r="D277" t="str">
            <v>508004.88 A 1016009.75</v>
          </cell>
          <cell r="E277">
            <v>1000</v>
          </cell>
          <cell r="F277">
            <v>200</v>
          </cell>
          <cell r="G277">
            <v>158</v>
          </cell>
          <cell r="H277">
            <v>44732</v>
          </cell>
          <cell r="I277">
            <v>46006</v>
          </cell>
          <cell r="J277">
            <v>46001</v>
          </cell>
          <cell r="K277">
            <v>0.75519999999999998</v>
          </cell>
          <cell r="L277">
            <v>0.75009999999999999</v>
          </cell>
          <cell r="M277">
            <v>0.79</v>
          </cell>
          <cell r="N277">
            <v>40</v>
          </cell>
          <cell r="O277">
            <v>107</v>
          </cell>
          <cell r="P277">
            <v>35</v>
          </cell>
          <cell r="Q277">
            <v>186</v>
          </cell>
          <cell r="R277">
            <v>368</v>
          </cell>
          <cell r="S277">
            <v>1</v>
          </cell>
          <cell r="T277">
            <v>1</v>
          </cell>
          <cell r="U277">
            <v>8</v>
          </cell>
          <cell r="V277">
            <v>1</v>
          </cell>
          <cell r="W277">
            <v>11</v>
          </cell>
        </row>
        <row r="278">
          <cell r="A278">
            <v>45962</v>
          </cell>
          <cell r="B278">
            <v>10014</v>
          </cell>
          <cell r="C278" t="str">
            <v>Sim</v>
          </cell>
          <cell r="D278" t="str">
            <v>113519.11 A 227038.20</v>
          </cell>
          <cell r="E278">
            <v>1000</v>
          </cell>
          <cell r="F278">
            <v>200</v>
          </cell>
          <cell r="G278">
            <v>157</v>
          </cell>
          <cell r="H278">
            <v>44708</v>
          </cell>
          <cell r="I278">
            <v>46006</v>
          </cell>
          <cell r="J278">
            <v>46001</v>
          </cell>
          <cell r="K278">
            <v>0.69589999999999996</v>
          </cell>
          <cell r="L278">
            <v>0.67810000000000004</v>
          </cell>
          <cell r="M278">
            <v>0.7</v>
          </cell>
          <cell r="N278">
            <v>43</v>
          </cell>
          <cell r="O278">
            <v>92</v>
          </cell>
          <cell r="P278">
            <v>37</v>
          </cell>
          <cell r="Q278">
            <v>156</v>
          </cell>
          <cell r="R278">
            <v>328</v>
          </cell>
          <cell r="S278">
            <v>1</v>
          </cell>
          <cell r="T278">
            <v>1</v>
          </cell>
          <cell r="U278">
            <v>9</v>
          </cell>
          <cell r="V278">
            <v>1</v>
          </cell>
          <cell r="W278">
            <v>12</v>
          </cell>
        </row>
        <row r="279">
          <cell r="A279">
            <v>45962</v>
          </cell>
          <cell r="B279">
            <v>10015</v>
          </cell>
          <cell r="C279" t="str">
            <v>Sim</v>
          </cell>
          <cell r="D279" t="str">
            <v>112777.57 A 225555.15</v>
          </cell>
          <cell r="E279">
            <v>1000</v>
          </cell>
          <cell r="F279">
            <v>200</v>
          </cell>
          <cell r="G279">
            <v>159</v>
          </cell>
          <cell r="H279">
            <v>44760</v>
          </cell>
          <cell r="I279">
            <v>46006</v>
          </cell>
          <cell r="J279">
            <v>46001</v>
          </cell>
          <cell r="K279">
            <v>0.68859999999999999</v>
          </cell>
          <cell r="L279">
            <v>0.68</v>
          </cell>
          <cell r="M279">
            <v>0.71509999999999996</v>
          </cell>
          <cell r="N279">
            <v>41</v>
          </cell>
          <cell r="O279">
            <v>88</v>
          </cell>
          <cell r="P279">
            <v>35</v>
          </cell>
          <cell r="Q279">
            <v>144</v>
          </cell>
          <cell r="R279">
            <v>308</v>
          </cell>
          <cell r="S279">
            <v>1</v>
          </cell>
          <cell r="T279">
            <v>1</v>
          </cell>
          <cell r="U279">
            <v>12</v>
          </cell>
          <cell r="V279">
            <v>1</v>
          </cell>
          <cell r="W279">
            <v>15</v>
          </cell>
        </row>
        <row r="280">
          <cell r="A280">
            <v>45962</v>
          </cell>
          <cell r="B280">
            <v>10016</v>
          </cell>
          <cell r="C280" t="str">
            <v>Não</v>
          </cell>
          <cell r="D280" t="str">
            <v>56627.95 A 101930.32</v>
          </cell>
          <cell r="E280">
            <v>1000</v>
          </cell>
          <cell r="F280">
            <v>200</v>
          </cell>
          <cell r="G280">
            <v>161</v>
          </cell>
          <cell r="H280">
            <v>44832</v>
          </cell>
          <cell r="I280">
            <v>46006</v>
          </cell>
          <cell r="J280">
            <v>46001</v>
          </cell>
          <cell r="K280">
            <v>0.64239999999999997</v>
          </cell>
          <cell r="L280">
            <v>0.65</v>
          </cell>
          <cell r="M280">
            <v>0.68100000000000005</v>
          </cell>
          <cell r="N280">
            <v>35</v>
          </cell>
          <cell r="O280">
            <v>46</v>
          </cell>
          <cell r="P280">
            <v>29</v>
          </cell>
          <cell r="Q280">
            <v>82</v>
          </cell>
          <cell r="R280">
            <v>192</v>
          </cell>
          <cell r="S280">
            <v>1</v>
          </cell>
          <cell r="T280">
            <v>1</v>
          </cell>
          <cell r="U280">
            <v>7</v>
          </cell>
          <cell r="V280">
            <v>1</v>
          </cell>
          <cell r="W280">
            <v>10</v>
          </cell>
        </row>
        <row r="281">
          <cell r="A281">
            <v>45962</v>
          </cell>
          <cell r="B281">
            <v>10017</v>
          </cell>
          <cell r="C281" t="str">
            <v>Sim</v>
          </cell>
          <cell r="D281" t="str">
            <v>247149.03 A 449361.88</v>
          </cell>
          <cell r="E281">
            <v>1000</v>
          </cell>
          <cell r="F281">
            <v>200</v>
          </cell>
          <cell r="G281">
            <v>160</v>
          </cell>
          <cell r="H281">
            <v>44802</v>
          </cell>
          <cell r="I281">
            <v>46006</v>
          </cell>
          <cell r="J281">
            <v>46001</v>
          </cell>
          <cell r="K281">
            <v>0.78600000000000003</v>
          </cell>
          <cell r="L281">
            <v>0.76</v>
          </cell>
          <cell r="M281">
            <v>0.8</v>
          </cell>
          <cell r="N281">
            <v>40</v>
          </cell>
          <cell r="O281">
            <v>51</v>
          </cell>
          <cell r="P281">
            <v>34</v>
          </cell>
          <cell r="Q281">
            <v>152</v>
          </cell>
          <cell r="R281">
            <v>277</v>
          </cell>
          <cell r="S281">
            <v>1</v>
          </cell>
          <cell r="T281">
            <v>1</v>
          </cell>
          <cell r="U281">
            <v>8</v>
          </cell>
          <cell r="V281">
            <v>1</v>
          </cell>
          <cell r="W281">
            <v>11</v>
          </cell>
        </row>
        <row r="282">
          <cell r="A282">
            <v>45962</v>
          </cell>
          <cell r="B282">
            <v>10018</v>
          </cell>
          <cell r="C282" t="str">
            <v>Sim</v>
          </cell>
          <cell r="D282" t="str">
            <v>112340.47 A 224680.93</v>
          </cell>
          <cell r="E282">
            <v>1000</v>
          </cell>
          <cell r="F282">
            <v>200</v>
          </cell>
          <cell r="G282">
            <v>160</v>
          </cell>
          <cell r="H282">
            <v>44802</v>
          </cell>
          <cell r="I282">
            <v>46006</v>
          </cell>
          <cell r="J282">
            <v>46001</v>
          </cell>
          <cell r="K282">
            <v>0.70989999999999998</v>
          </cell>
          <cell r="L282">
            <v>0.66710000000000003</v>
          </cell>
          <cell r="M282">
            <v>0.75</v>
          </cell>
          <cell r="N282">
            <v>39</v>
          </cell>
          <cell r="O282">
            <v>57</v>
          </cell>
          <cell r="P282">
            <v>35</v>
          </cell>
          <cell r="Q282">
            <v>124</v>
          </cell>
          <cell r="R282">
            <v>255</v>
          </cell>
          <cell r="S282">
            <v>1</v>
          </cell>
          <cell r="T282">
            <v>1</v>
          </cell>
          <cell r="U282">
            <v>6</v>
          </cell>
          <cell r="V282">
            <v>1</v>
          </cell>
          <cell r="W282">
            <v>9</v>
          </cell>
        </row>
        <row r="283">
          <cell r="A283">
            <v>45962</v>
          </cell>
          <cell r="B283">
            <v>10019</v>
          </cell>
          <cell r="C283" t="str">
            <v>Não</v>
          </cell>
          <cell r="D283" t="str">
            <v>113255.91 A 226511.82</v>
          </cell>
          <cell r="E283">
            <v>1000</v>
          </cell>
          <cell r="F283">
            <v>200</v>
          </cell>
          <cell r="G283">
            <v>161</v>
          </cell>
          <cell r="H283">
            <v>44832</v>
          </cell>
          <cell r="I283">
            <v>46006</v>
          </cell>
          <cell r="J283">
            <v>46001</v>
          </cell>
          <cell r="K283">
            <v>0.6321</v>
          </cell>
          <cell r="L283">
            <v>0.62150000000000005</v>
          </cell>
          <cell r="M283">
            <v>0.76</v>
          </cell>
          <cell r="N283">
            <v>37</v>
          </cell>
          <cell r="O283">
            <v>46</v>
          </cell>
          <cell r="P283">
            <v>29</v>
          </cell>
          <cell r="Q283">
            <v>103</v>
          </cell>
          <cell r="R283">
            <v>215</v>
          </cell>
          <cell r="S283">
            <v>1</v>
          </cell>
          <cell r="T283">
            <v>2</v>
          </cell>
          <cell r="U283">
            <v>8</v>
          </cell>
          <cell r="V283">
            <v>1</v>
          </cell>
          <cell r="W283">
            <v>12</v>
          </cell>
        </row>
        <row r="284">
          <cell r="A284">
            <v>45962</v>
          </cell>
          <cell r="B284">
            <v>10020</v>
          </cell>
          <cell r="C284" t="str">
            <v>Sim</v>
          </cell>
          <cell r="D284" t="str">
            <v>509651.60 A 1019303.19</v>
          </cell>
          <cell r="E284">
            <v>1000</v>
          </cell>
          <cell r="F284">
            <v>200</v>
          </cell>
          <cell r="G284">
            <v>161</v>
          </cell>
          <cell r="H284">
            <v>44832</v>
          </cell>
          <cell r="I284">
            <v>46006</v>
          </cell>
          <cell r="J284">
            <v>46001</v>
          </cell>
          <cell r="K284">
            <v>0.76139999999999997</v>
          </cell>
          <cell r="L284">
            <v>0.75270000000000004</v>
          </cell>
          <cell r="M284">
            <v>0.80500000000000005</v>
          </cell>
          <cell r="N284">
            <v>39</v>
          </cell>
          <cell r="O284">
            <v>35</v>
          </cell>
          <cell r="P284">
            <v>33</v>
          </cell>
          <cell r="Q284">
            <v>146</v>
          </cell>
          <cell r="R284">
            <v>253</v>
          </cell>
          <cell r="S284">
            <v>1</v>
          </cell>
          <cell r="T284">
            <v>1</v>
          </cell>
          <cell r="U284">
            <v>10</v>
          </cell>
          <cell r="V284">
            <v>1</v>
          </cell>
          <cell r="W284">
            <v>13</v>
          </cell>
        </row>
        <row r="285">
          <cell r="A285">
            <v>45962</v>
          </cell>
          <cell r="B285">
            <v>10021</v>
          </cell>
          <cell r="C285" t="str">
            <v>Sim</v>
          </cell>
          <cell r="D285" t="str">
            <v>113255.91 A 226511.82</v>
          </cell>
          <cell r="E285">
            <v>2500</v>
          </cell>
          <cell r="F285">
            <v>200</v>
          </cell>
          <cell r="G285">
            <v>161</v>
          </cell>
          <cell r="H285">
            <v>44832</v>
          </cell>
          <cell r="I285">
            <v>46006</v>
          </cell>
          <cell r="J285">
            <v>46001</v>
          </cell>
          <cell r="K285">
            <v>0.73250000000000004</v>
          </cell>
          <cell r="L285">
            <v>0.71</v>
          </cell>
          <cell r="M285">
            <v>0.80500000000000005</v>
          </cell>
          <cell r="N285">
            <v>38</v>
          </cell>
          <cell r="O285">
            <v>49</v>
          </cell>
          <cell r="P285">
            <v>36</v>
          </cell>
          <cell r="Q285">
            <v>502</v>
          </cell>
          <cell r="R285">
            <v>625</v>
          </cell>
          <cell r="S285">
            <v>1</v>
          </cell>
          <cell r="T285">
            <v>1</v>
          </cell>
          <cell r="U285">
            <v>23</v>
          </cell>
          <cell r="V285">
            <v>1</v>
          </cell>
          <cell r="W285">
            <v>26</v>
          </cell>
        </row>
        <row r="286">
          <cell r="A286">
            <v>45962</v>
          </cell>
          <cell r="B286">
            <v>10023</v>
          </cell>
          <cell r="C286" t="str">
            <v>Sim</v>
          </cell>
          <cell r="D286" t="str">
            <v>249163.01 A 453023.64</v>
          </cell>
          <cell r="E286">
            <v>2500</v>
          </cell>
          <cell r="F286">
            <v>200</v>
          </cell>
          <cell r="G286">
            <v>161</v>
          </cell>
          <cell r="H286">
            <v>44832</v>
          </cell>
          <cell r="I286">
            <v>46006</v>
          </cell>
          <cell r="J286">
            <v>46001</v>
          </cell>
          <cell r="K286">
            <v>0.75700000000000001</v>
          </cell>
          <cell r="L286">
            <v>0.72130000000000005</v>
          </cell>
          <cell r="M286">
            <v>0.80500000000000005</v>
          </cell>
          <cell r="N286">
            <v>38</v>
          </cell>
          <cell r="O286">
            <v>38</v>
          </cell>
          <cell r="P286">
            <v>38</v>
          </cell>
          <cell r="Q286">
            <v>536</v>
          </cell>
          <cell r="R286">
            <v>650</v>
          </cell>
          <cell r="S286">
            <v>1</v>
          </cell>
          <cell r="T286">
            <v>1</v>
          </cell>
          <cell r="U286">
            <v>31</v>
          </cell>
          <cell r="V286">
            <v>1</v>
          </cell>
          <cell r="W286">
            <v>34</v>
          </cell>
        </row>
        <row r="287">
          <cell r="A287">
            <v>45962</v>
          </cell>
          <cell r="B287">
            <v>10024</v>
          </cell>
          <cell r="C287" t="str">
            <v>Sim</v>
          </cell>
          <cell r="D287" t="str">
            <v>108878.64 A 217757.28</v>
          </cell>
          <cell r="E287">
            <v>2500</v>
          </cell>
          <cell r="F287">
            <v>200</v>
          </cell>
          <cell r="G287">
            <v>165</v>
          </cell>
          <cell r="H287">
            <v>44942</v>
          </cell>
          <cell r="I287">
            <v>46006</v>
          </cell>
          <cell r="J287">
            <v>46001</v>
          </cell>
          <cell r="K287">
            <v>0.75019999999999998</v>
          </cell>
          <cell r="L287">
            <v>0.71</v>
          </cell>
          <cell r="M287">
            <v>0.82499999999999996</v>
          </cell>
          <cell r="N287">
            <v>34</v>
          </cell>
          <cell r="O287">
            <v>36</v>
          </cell>
          <cell r="P287">
            <v>33</v>
          </cell>
          <cell r="Q287">
            <v>389</v>
          </cell>
          <cell r="R287">
            <v>492</v>
          </cell>
          <cell r="S287">
            <v>1</v>
          </cell>
          <cell r="T287">
            <v>1</v>
          </cell>
          <cell r="U287">
            <v>29</v>
          </cell>
          <cell r="V287">
            <v>1</v>
          </cell>
          <cell r="W287">
            <v>32</v>
          </cell>
        </row>
        <row r="288">
          <cell r="A288">
            <v>45962</v>
          </cell>
          <cell r="B288">
            <v>10025</v>
          </cell>
          <cell r="C288" t="str">
            <v>Sim</v>
          </cell>
          <cell r="D288" t="str">
            <v>108721.27 A 217442.55</v>
          </cell>
          <cell r="E288">
            <v>2500</v>
          </cell>
          <cell r="F288">
            <v>200</v>
          </cell>
          <cell r="G288">
            <v>170</v>
          </cell>
          <cell r="H288">
            <v>45100</v>
          </cell>
          <cell r="I288">
            <v>46006</v>
          </cell>
          <cell r="J288">
            <v>46001</v>
          </cell>
          <cell r="K288">
            <v>0.8075</v>
          </cell>
          <cell r="L288">
            <v>0.79</v>
          </cell>
          <cell r="M288">
            <v>0.82</v>
          </cell>
          <cell r="N288">
            <v>30</v>
          </cell>
          <cell r="O288">
            <v>31</v>
          </cell>
          <cell r="P288">
            <v>30</v>
          </cell>
          <cell r="Q288">
            <v>368</v>
          </cell>
          <cell r="R288">
            <v>459</v>
          </cell>
          <cell r="S288">
            <v>1</v>
          </cell>
          <cell r="T288">
            <v>1</v>
          </cell>
          <cell r="U288">
            <v>29</v>
          </cell>
          <cell r="V288">
            <v>1</v>
          </cell>
          <cell r="W288">
            <v>32</v>
          </cell>
        </row>
        <row r="289">
          <cell r="A289">
            <v>45962</v>
          </cell>
          <cell r="B289">
            <v>10026</v>
          </cell>
          <cell r="C289" t="str">
            <v>Não</v>
          </cell>
          <cell r="D289" t="str">
            <v>249412.85 A 453477.91</v>
          </cell>
          <cell r="E289">
            <v>2500</v>
          </cell>
          <cell r="F289">
            <v>200</v>
          </cell>
          <cell r="G289">
            <v>162</v>
          </cell>
          <cell r="H289">
            <v>44858</v>
          </cell>
          <cell r="I289">
            <v>46006</v>
          </cell>
          <cell r="J289">
            <v>46001</v>
          </cell>
          <cell r="K289">
            <v>0.72140000000000004</v>
          </cell>
          <cell r="L289">
            <v>0.7</v>
          </cell>
          <cell r="M289">
            <v>0.81</v>
          </cell>
          <cell r="N289">
            <v>38</v>
          </cell>
          <cell r="O289">
            <v>38</v>
          </cell>
          <cell r="P289">
            <v>31</v>
          </cell>
          <cell r="Q289">
            <v>291</v>
          </cell>
          <cell r="R289">
            <v>398</v>
          </cell>
          <cell r="S289">
            <v>1</v>
          </cell>
          <cell r="T289">
            <v>1</v>
          </cell>
          <cell r="U289">
            <v>21</v>
          </cell>
          <cell r="V289">
            <v>1</v>
          </cell>
          <cell r="W289">
            <v>24</v>
          </cell>
        </row>
        <row r="290">
          <cell r="A290">
            <v>45962</v>
          </cell>
          <cell r="B290">
            <v>10027</v>
          </cell>
          <cell r="C290" t="str">
            <v>Sim</v>
          </cell>
          <cell r="D290" t="str">
            <v>514462.26 A 1028924.52</v>
          </cell>
          <cell r="E290">
            <v>2500</v>
          </cell>
          <cell r="F290">
            <v>200</v>
          </cell>
          <cell r="G290">
            <v>163</v>
          </cell>
          <cell r="H290">
            <v>44889</v>
          </cell>
          <cell r="I290">
            <v>46006</v>
          </cell>
          <cell r="J290">
            <v>46001</v>
          </cell>
          <cell r="K290">
            <v>0.77110000000000001</v>
          </cell>
          <cell r="L290">
            <v>0.77</v>
          </cell>
          <cell r="M290">
            <v>0.81499999999999995</v>
          </cell>
          <cell r="N290">
            <v>35</v>
          </cell>
          <cell r="O290">
            <v>38</v>
          </cell>
          <cell r="P290">
            <v>35</v>
          </cell>
          <cell r="Q290">
            <v>527</v>
          </cell>
          <cell r="R290">
            <v>635</v>
          </cell>
          <cell r="S290">
            <v>1</v>
          </cell>
          <cell r="T290">
            <v>1</v>
          </cell>
          <cell r="U290">
            <v>24</v>
          </cell>
          <cell r="V290">
            <v>1</v>
          </cell>
          <cell r="W290">
            <v>27</v>
          </cell>
        </row>
        <row r="291">
          <cell r="A291">
            <v>45962</v>
          </cell>
          <cell r="B291">
            <v>10028</v>
          </cell>
          <cell r="C291" t="str">
            <v>Não</v>
          </cell>
          <cell r="D291" t="str">
            <v>108651.54 A 217303.08</v>
          </cell>
          <cell r="E291">
            <v>2500</v>
          </cell>
          <cell r="F291">
            <v>200</v>
          </cell>
          <cell r="G291">
            <v>166</v>
          </cell>
          <cell r="H291">
            <v>44973</v>
          </cell>
          <cell r="I291">
            <v>46006</v>
          </cell>
          <cell r="J291">
            <v>46001</v>
          </cell>
          <cell r="K291">
            <v>0.71140000000000003</v>
          </cell>
          <cell r="L291">
            <v>0.70009999999999994</v>
          </cell>
          <cell r="M291">
            <v>0.76590000000000003</v>
          </cell>
          <cell r="N291">
            <v>29</v>
          </cell>
          <cell r="O291">
            <v>37</v>
          </cell>
          <cell r="P291">
            <v>31</v>
          </cell>
          <cell r="Q291">
            <v>302</v>
          </cell>
          <cell r="R291">
            <v>399</v>
          </cell>
          <cell r="S291">
            <v>1</v>
          </cell>
          <cell r="T291">
            <v>2</v>
          </cell>
          <cell r="U291">
            <v>18</v>
          </cell>
          <cell r="V291">
            <v>1</v>
          </cell>
          <cell r="W291">
            <v>22</v>
          </cell>
        </row>
        <row r="292">
          <cell r="A292">
            <v>45962</v>
          </cell>
          <cell r="B292">
            <v>10029</v>
          </cell>
          <cell r="C292" t="str">
            <v>Não</v>
          </cell>
          <cell r="D292" t="str">
            <v>54458.06 A 98024.52</v>
          </cell>
          <cell r="E292">
            <v>2500</v>
          </cell>
          <cell r="F292">
            <v>200</v>
          </cell>
          <cell r="G292">
            <v>168</v>
          </cell>
          <cell r="H292">
            <v>45034</v>
          </cell>
          <cell r="I292">
            <v>46006</v>
          </cell>
          <cell r="J292">
            <v>46001</v>
          </cell>
          <cell r="K292">
            <v>0.63549999999999995</v>
          </cell>
          <cell r="L292">
            <v>0.55379999999999996</v>
          </cell>
          <cell r="M292">
            <v>0.65</v>
          </cell>
          <cell r="N292">
            <v>29</v>
          </cell>
          <cell r="O292">
            <v>32</v>
          </cell>
          <cell r="P292">
            <v>24</v>
          </cell>
          <cell r="Q292">
            <v>169</v>
          </cell>
          <cell r="R292">
            <v>254</v>
          </cell>
          <cell r="S292">
            <v>1</v>
          </cell>
          <cell r="T292">
            <v>1</v>
          </cell>
          <cell r="U292">
            <v>18</v>
          </cell>
          <cell r="V292">
            <v>1</v>
          </cell>
          <cell r="W292">
            <v>21</v>
          </cell>
        </row>
        <row r="293">
          <cell r="A293">
            <v>45962</v>
          </cell>
          <cell r="B293">
            <v>10030</v>
          </cell>
          <cell r="C293" t="str">
            <v>Sim</v>
          </cell>
          <cell r="D293" t="str">
            <v>239186.80 A 434885.09</v>
          </cell>
          <cell r="E293">
            <v>2500</v>
          </cell>
          <cell r="F293">
            <v>200</v>
          </cell>
          <cell r="G293">
            <v>170</v>
          </cell>
          <cell r="H293">
            <v>45100</v>
          </cell>
          <cell r="I293">
            <v>46006</v>
          </cell>
          <cell r="J293">
            <v>46001</v>
          </cell>
          <cell r="K293">
            <v>0.77</v>
          </cell>
          <cell r="L293">
            <v>0.76090000000000002</v>
          </cell>
          <cell r="M293">
            <v>0.85</v>
          </cell>
          <cell r="N293">
            <v>30</v>
          </cell>
          <cell r="O293">
            <v>30</v>
          </cell>
          <cell r="P293">
            <v>29</v>
          </cell>
          <cell r="Q293">
            <v>345</v>
          </cell>
          <cell r="R293">
            <v>434</v>
          </cell>
          <cell r="S293">
            <v>1</v>
          </cell>
          <cell r="T293">
            <v>1</v>
          </cell>
          <cell r="U293">
            <v>24</v>
          </cell>
          <cell r="V293">
            <v>1</v>
          </cell>
          <cell r="W293">
            <v>27</v>
          </cell>
        </row>
        <row r="294">
          <cell r="A294">
            <v>45962</v>
          </cell>
          <cell r="B294">
            <v>10031</v>
          </cell>
          <cell r="C294" t="str">
            <v>Sim</v>
          </cell>
          <cell r="D294" t="str">
            <v>489197.24 A 978394.48</v>
          </cell>
          <cell r="E294">
            <v>2500</v>
          </cell>
          <cell r="F294">
            <v>200</v>
          </cell>
          <cell r="G294">
            <v>171</v>
          </cell>
          <cell r="H294">
            <v>45125</v>
          </cell>
          <cell r="I294">
            <v>46006</v>
          </cell>
          <cell r="J294">
            <v>46001</v>
          </cell>
          <cell r="K294">
            <v>0.81189999999999996</v>
          </cell>
          <cell r="L294">
            <v>0.77210000000000001</v>
          </cell>
          <cell r="M294">
            <v>0.85</v>
          </cell>
          <cell r="N294">
            <v>29</v>
          </cell>
          <cell r="O294">
            <v>28</v>
          </cell>
          <cell r="P294">
            <v>28</v>
          </cell>
          <cell r="Q294">
            <v>393</v>
          </cell>
          <cell r="R294">
            <v>478</v>
          </cell>
          <cell r="S294">
            <v>1</v>
          </cell>
          <cell r="T294">
            <v>1</v>
          </cell>
          <cell r="U294">
            <v>41</v>
          </cell>
          <cell r="V294">
            <v>1</v>
          </cell>
          <cell r="W294">
            <v>44</v>
          </cell>
        </row>
        <row r="295">
          <cell r="A295">
            <v>45962</v>
          </cell>
          <cell r="B295">
            <v>10032</v>
          </cell>
          <cell r="C295" t="str">
            <v>Não</v>
          </cell>
          <cell r="D295" t="str">
            <v>54698.52 A 98457.34</v>
          </cell>
          <cell r="E295">
            <v>2500</v>
          </cell>
          <cell r="F295">
            <v>240</v>
          </cell>
          <cell r="G295">
            <v>213</v>
          </cell>
          <cell r="H295">
            <v>45197</v>
          </cell>
          <cell r="I295">
            <v>46006</v>
          </cell>
          <cell r="J295">
            <v>46001</v>
          </cell>
          <cell r="K295">
            <v>0.54879999999999995</v>
          </cell>
          <cell r="L295">
            <v>0.45710000000000001</v>
          </cell>
          <cell r="M295">
            <v>0.63990000000000002</v>
          </cell>
          <cell r="N295">
            <v>25</v>
          </cell>
          <cell r="O295">
            <v>29</v>
          </cell>
          <cell r="P295">
            <v>17</v>
          </cell>
          <cell r="Q295">
            <v>116</v>
          </cell>
          <cell r="R295">
            <v>187</v>
          </cell>
          <cell r="S295">
            <v>1</v>
          </cell>
          <cell r="T295">
            <v>1</v>
          </cell>
          <cell r="U295">
            <v>16</v>
          </cell>
          <cell r="V295">
            <v>1</v>
          </cell>
          <cell r="W295">
            <v>19</v>
          </cell>
        </row>
        <row r="296">
          <cell r="A296">
            <v>45962</v>
          </cell>
          <cell r="B296">
            <v>10033</v>
          </cell>
          <cell r="C296" t="str">
            <v>Não</v>
          </cell>
          <cell r="D296" t="str">
            <v>109397.04 A 218794.08</v>
          </cell>
          <cell r="E296">
            <v>2500</v>
          </cell>
          <cell r="F296">
            <v>240</v>
          </cell>
          <cell r="G296">
            <v>213</v>
          </cell>
          <cell r="H296">
            <v>45188</v>
          </cell>
          <cell r="I296">
            <v>46006</v>
          </cell>
          <cell r="J296">
            <v>46001</v>
          </cell>
          <cell r="K296">
            <v>0.54569999999999996</v>
          </cell>
          <cell r="L296">
            <v>0.52810000000000001</v>
          </cell>
          <cell r="M296">
            <v>0.67030000000000001</v>
          </cell>
          <cell r="N296">
            <v>27</v>
          </cell>
          <cell r="O296">
            <v>27</v>
          </cell>
          <cell r="P296">
            <v>24</v>
          </cell>
          <cell r="Q296">
            <v>153</v>
          </cell>
          <cell r="R296">
            <v>231</v>
          </cell>
          <cell r="S296">
            <v>1</v>
          </cell>
          <cell r="T296">
            <v>1</v>
          </cell>
          <cell r="U296">
            <v>17</v>
          </cell>
          <cell r="V296">
            <v>1</v>
          </cell>
          <cell r="W296">
            <v>20</v>
          </cell>
        </row>
        <row r="297">
          <cell r="A297">
            <v>45962</v>
          </cell>
          <cell r="B297">
            <v>10034</v>
          </cell>
          <cell r="C297" t="str">
            <v>Sim</v>
          </cell>
          <cell r="D297" t="str">
            <v>109397.04 A 218794.08</v>
          </cell>
          <cell r="E297">
            <v>2500</v>
          </cell>
          <cell r="F297">
            <v>200</v>
          </cell>
          <cell r="G297">
            <v>173</v>
          </cell>
          <cell r="H297">
            <v>45188</v>
          </cell>
          <cell r="I297">
            <v>46006</v>
          </cell>
          <cell r="J297">
            <v>46001</v>
          </cell>
          <cell r="K297">
            <v>0.77500000000000002</v>
          </cell>
          <cell r="L297">
            <v>0.76249999999999996</v>
          </cell>
          <cell r="M297">
            <v>0.86499999999999999</v>
          </cell>
          <cell r="N297">
            <v>27</v>
          </cell>
          <cell r="O297">
            <v>27</v>
          </cell>
          <cell r="P297">
            <v>26</v>
          </cell>
          <cell r="Q297">
            <v>284</v>
          </cell>
          <cell r="R297">
            <v>364</v>
          </cell>
          <cell r="S297">
            <v>1</v>
          </cell>
          <cell r="T297">
            <v>1</v>
          </cell>
          <cell r="U297">
            <v>24</v>
          </cell>
          <cell r="V297">
            <v>1</v>
          </cell>
          <cell r="W297">
            <v>27</v>
          </cell>
        </row>
        <row r="298">
          <cell r="A298">
            <v>45962</v>
          </cell>
          <cell r="B298">
            <v>10035</v>
          </cell>
          <cell r="C298" t="str">
            <v>Sim</v>
          </cell>
          <cell r="D298" t="str">
            <v>470702.25 A 941404.50</v>
          </cell>
          <cell r="E298">
            <v>2500</v>
          </cell>
          <cell r="F298">
            <v>200</v>
          </cell>
          <cell r="G298">
            <v>176</v>
          </cell>
          <cell r="H298">
            <v>45286</v>
          </cell>
          <cell r="I298">
            <v>46006</v>
          </cell>
          <cell r="J298">
            <v>46001</v>
          </cell>
          <cell r="K298">
            <v>0.82289999999999996</v>
          </cell>
          <cell r="L298">
            <v>0.77</v>
          </cell>
          <cell r="M298">
            <v>0.85089999999999999</v>
          </cell>
          <cell r="N298">
            <v>24</v>
          </cell>
          <cell r="O298">
            <v>22</v>
          </cell>
          <cell r="P298">
            <v>22</v>
          </cell>
          <cell r="Q298">
            <v>257</v>
          </cell>
          <cell r="R298">
            <v>325</v>
          </cell>
          <cell r="S298">
            <v>1</v>
          </cell>
          <cell r="T298">
            <v>1</v>
          </cell>
          <cell r="U298">
            <v>31</v>
          </cell>
          <cell r="V298">
            <v>1</v>
          </cell>
          <cell r="W298">
            <v>34</v>
          </cell>
        </row>
        <row r="299">
          <cell r="A299">
            <v>45962</v>
          </cell>
          <cell r="B299">
            <v>10036</v>
          </cell>
          <cell r="C299" t="str">
            <v>Sim</v>
          </cell>
          <cell r="D299" t="str">
            <v>229183.02 A 416696.40</v>
          </cell>
          <cell r="E299">
            <v>2500</v>
          </cell>
          <cell r="F299">
            <v>200</v>
          </cell>
          <cell r="G299">
            <v>179</v>
          </cell>
          <cell r="H299">
            <v>45369</v>
          </cell>
          <cell r="I299">
            <v>46006</v>
          </cell>
          <cell r="J299">
            <v>46001</v>
          </cell>
          <cell r="K299">
            <v>0.84</v>
          </cell>
          <cell r="L299">
            <v>0.83919999999999995</v>
          </cell>
          <cell r="M299">
            <v>0.87</v>
          </cell>
          <cell r="N299">
            <v>21</v>
          </cell>
          <cell r="O299">
            <v>22</v>
          </cell>
          <cell r="P299">
            <v>21</v>
          </cell>
          <cell r="Q299">
            <v>182</v>
          </cell>
          <cell r="R299">
            <v>246</v>
          </cell>
          <cell r="S299">
            <v>1</v>
          </cell>
          <cell r="T299">
            <v>1</v>
          </cell>
          <cell r="U299">
            <v>22</v>
          </cell>
          <cell r="V299">
            <v>1</v>
          </cell>
          <cell r="W299">
            <v>25</v>
          </cell>
        </row>
        <row r="300">
          <cell r="A300">
            <v>45962</v>
          </cell>
          <cell r="B300">
            <v>10037</v>
          </cell>
          <cell r="C300" t="str">
            <v>Sim</v>
          </cell>
          <cell r="D300" t="str">
            <v>104866.50 A 209733.00</v>
          </cell>
          <cell r="E300">
            <v>2500</v>
          </cell>
          <cell r="F300">
            <v>200</v>
          </cell>
          <cell r="G300">
            <v>180</v>
          </cell>
          <cell r="H300">
            <v>45398</v>
          </cell>
          <cell r="I300">
            <v>46006</v>
          </cell>
          <cell r="J300">
            <v>46001</v>
          </cell>
          <cell r="K300">
            <v>0.81089999999999995</v>
          </cell>
          <cell r="L300">
            <v>0.80600000000000005</v>
          </cell>
          <cell r="M300">
            <v>0.88</v>
          </cell>
          <cell r="N300">
            <v>19</v>
          </cell>
          <cell r="O300">
            <v>21</v>
          </cell>
          <cell r="P300">
            <v>20</v>
          </cell>
          <cell r="Q300">
            <v>174</v>
          </cell>
          <cell r="R300">
            <v>234</v>
          </cell>
          <cell r="S300">
            <v>1</v>
          </cell>
          <cell r="T300">
            <v>1</v>
          </cell>
          <cell r="U300">
            <v>15</v>
          </cell>
          <cell r="V300">
            <v>1</v>
          </cell>
          <cell r="W300">
            <v>18</v>
          </cell>
        </row>
        <row r="301">
          <cell r="A301">
            <v>45962</v>
          </cell>
          <cell r="B301">
            <v>10038</v>
          </cell>
          <cell r="C301" t="str">
            <v>Não</v>
          </cell>
          <cell r="D301" t="str">
            <v>105316.70 A 210633.40</v>
          </cell>
          <cell r="E301">
            <v>2500</v>
          </cell>
          <cell r="F301">
            <v>200</v>
          </cell>
          <cell r="G301">
            <v>182</v>
          </cell>
          <cell r="H301">
            <v>45460</v>
          </cell>
          <cell r="I301">
            <v>46006</v>
          </cell>
          <cell r="J301">
            <v>46001</v>
          </cell>
          <cell r="K301">
            <v>0.6431</v>
          </cell>
          <cell r="L301">
            <v>0.64570000000000005</v>
          </cell>
          <cell r="M301">
            <v>0.75960000000000005</v>
          </cell>
          <cell r="N301">
            <v>18</v>
          </cell>
          <cell r="O301">
            <v>17</v>
          </cell>
          <cell r="P301">
            <v>16</v>
          </cell>
          <cell r="Q301">
            <v>59</v>
          </cell>
          <cell r="R301">
            <v>110</v>
          </cell>
          <cell r="S301">
            <v>1</v>
          </cell>
          <cell r="T301">
            <v>1</v>
          </cell>
          <cell r="U301">
            <v>13</v>
          </cell>
          <cell r="V301">
            <v>1</v>
          </cell>
          <cell r="W301">
            <v>16</v>
          </cell>
        </row>
        <row r="302">
          <cell r="A302">
            <v>45962</v>
          </cell>
          <cell r="B302">
            <v>10039</v>
          </cell>
          <cell r="C302" t="str">
            <v>Sim</v>
          </cell>
          <cell r="D302" t="str">
            <v>105180.43 A 210360.86</v>
          </cell>
          <cell r="E302">
            <v>2500</v>
          </cell>
          <cell r="F302">
            <v>200</v>
          </cell>
          <cell r="G302">
            <v>184</v>
          </cell>
          <cell r="H302">
            <v>45525</v>
          </cell>
          <cell r="I302">
            <v>46006</v>
          </cell>
          <cell r="J302">
            <v>46001</v>
          </cell>
          <cell r="K302">
            <v>0.76680000000000004</v>
          </cell>
          <cell r="L302">
            <v>0.77500000000000002</v>
          </cell>
          <cell r="M302">
            <v>0.79020000000000001</v>
          </cell>
          <cell r="N302">
            <v>16</v>
          </cell>
          <cell r="O302">
            <v>16</v>
          </cell>
          <cell r="P302">
            <v>15</v>
          </cell>
          <cell r="Q302">
            <v>132</v>
          </cell>
          <cell r="R302">
            <v>179</v>
          </cell>
          <cell r="S302">
            <v>1</v>
          </cell>
          <cell r="T302">
            <v>1</v>
          </cell>
          <cell r="U302">
            <v>27</v>
          </cell>
          <cell r="V302">
            <v>1</v>
          </cell>
          <cell r="W302">
            <v>30</v>
          </cell>
        </row>
        <row r="303">
          <cell r="A303">
            <v>45962</v>
          </cell>
          <cell r="B303">
            <v>10040</v>
          </cell>
          <cell r="C303" t="str">
            <v>Sim</v>
          </cell>
          <cell r="D303" t="str">
            <v>473075.55 A 946151.10</v>
          </cell>
          <cell r="E303">
            <v>2500</v>
          </cell>
          <cell r="F303">
            <v>200</v>
          </cell>
          <cell r="G303">
            <v>185</v>
          </cell>
          <cell r="H303">
            <v>45551</v>
          </cell>
          <cell r="I303">
            <v>46006</v>
          </cell>
          <cell r="J303">
            <v>46001</v>
          </cell>
          <cell r="K303">
            <v>0.80930000000000002</v>
          </cell>
          <cell r="L303">
            <v>0.75</v>
          </cell>
          <cell r="M303">
            <v>0.88</v>
          </cell>
          <cell r="N303">
            <v>15</v>
          </cell>
          <cell r="O303">
            <v>15</v>
          </cell>
          <cell r="P303">
            <v>15</v>
          </cell>
          <cell r="Q303">
            <v>107</v>
          </cell>
          <cell r="R303">
            <v>152</v>
          </cell>
          <cell r="S303">
            <v>1</v>
          </cell>
          <cell r="T303">
            <v>1</v>
          </cell>
          <cell r="U303">
            <v>26</v>
          </cell>
          <cell r="V303">
            <v>1</v>
          </cell>
          <cell r="W303">
            <v>29</v>
          </cell>
        </row>
        <row r="304">
          <cell r="A304">
            <v>45962</v>
          </cell>
          <cell r="B304">
            <v>10041</v>
          </cell>
          <cell r="C304" t="str">
            <v>Sim</v>
          </cell>
          <cell r="D304" t="str">
            <v>231119.24 A 420216.80</v>
          </cell>
          <cell r="E304">
            <v>2500</v>
          </cell>
          <cell r="F304">
            <v>200</v>
          </cell>
          <cell r="G304">
            <v>186</v>
          </cell>
          <cell r="H304">
            <v>45581</v>
          </cell>
          <cell r="I304">
            <v>46006</v>
          </cell>
          <cell r="J304">
            <v>46001</v>
          </cell>
          <cell r="K304">
            <v>0.79959999999999998</v>
          </cell>
          <cell r="L304">
            <v>0.79</v>
          </cell>
          <cell r="M304">
            <v>0.93</v>
          </cell>
          <cell r="N304">
            <v>14</v>
          </cell>
          <cell r="O304">
            <v>13</v>
          </cell>
          <cell r="P304">
            <v>10</v>
          </cell>
          <cell r="Q304">
            <v>48</v>
          </cell>
          <cell r="R304">
            <v>85</v>
          </cell>
          <cell r="S304">
            <v>1</v>
          </cell>
          <cell r="T304">
            <v>1</v>
          </cell>
          <cell r="U304">
            <v>11</v>
          </cell>
          <cell r="V304">
            <v>1</v>
          </cell>
          <cell r="W304">
            <v>14</v>
          </cell>
        </row>
        <row r="305">
          <cell r="A305">
            <v>45962</v>
          </cell>
          <cell r="B305">
            <v>10042</v>
          </cell>
          <cell r="C305" t="str">
            <v>Não</v>
          </cell>
          <cell r="D305" t="str">
            <v>100000.00 A 200000.00</v>
          </cell>
          <cell r="E305">
            <v>2500</v>
          </cell>
          <cell r="F305">
            <v>240</v>
          </cell>
          <cell r="G305">
            <v>228</v>
          </cell>
          <cell r="H305">
            <v>45642</v>
          </cell>
          <cell r="I305">
            <v>46006</v>
          </cell>
          <cell r="J305">
            <v>46001</v>
          </cell>
          <cell r="K305">
            <v>0.66839999999999999</v>
          </cell>
          <cell r="L305">
            <v>0.65</v>
          </cell>
          <cell r="M305">
            <v>0.88</v>
          </cell>
          <cell r="N305">
            <v>11</v>
          </cell>
          <cell r="O305">
            <v>12</v>
          </cell>
          <cell r="P305">
            <v>11</v>
          </cell>
          <cell r="Q305">
            <v>85</v>
          </cell>
          <cell r="R305">
            <v>119</v>
          </cell>
          <cell r="S305">
            <v>1</v>
          </cell>
          <cell r="T305">
            <v>1</v>
          </cell>
          <cell r="U305">
            <v>12</v>
          </cell>
          <cell r="V305">
            <v>1</v>
          </cell>
          <cell r="W305">
            <v>15</v>
          </cell>
        </row>
        <row r="306">
          <cell r="A306">
            <v>45962</v>
          </cell>
          <cell r="B306">
            <v>10043</v>
          </cell>
          <cell r="C306" t="str">
            <v>Não</v>
          </cell>
          <cell r="D306" t="str">
            <v>45000.00 A 90000.00</v>
          </cell>
          <cell r="E306">
            <v>2500</v>
          </cell>
          <cell r="F306">
            <v>200</v>
          </cell>
          <cell r="G306">
            <v>188</v>
          </cell>
          <cell r="H306">
            <v>45642</v>
          </cell>
          <cell r="I306">
            <v>46006</v>
          </cell>
          <cell r="J306">
            <v>46001</v>
          </cell>
          <cell r="K306">
            <v>0.63170000000000004</v>
          </cell>
          <cell r="L306">
            <v>0.64549999999999996</v>
          </cell>
          <cell r="M306">
            <v>0.71540000000000004</v>
          </cell>
          <cell r="N306">
            <v>12</v>
          </cell>
          <cell r="O306">
            <v>11</v>
          </cell>
          <cell r="P306">
            <v>11</v>
          </cell>
          <cell r="Q306">
            <v>39</v>
          </cell>
          <cell r="R306">
            <v>73</v>
          </cell>
          <cell r="S306">
            <v>1</v>
          </cell>
          <cell r="T306">
            <v>1</v>
          </cell>
          <cell r="U306">
            <v>3</v>
          </cell>
          <cell r="V306">
            <v>1</v>
          </cell>
          <cell r="W306">
            <v>6</v>
          </cell>
        </row>
        <row r="307">
          <cell r="A307">
            <v>45962</v>
          </cell>
          <cell r="B307">
            <v>10044</v>
          </cell>
          <cell r="C307" t="str">
            <v>Não</v>
          </cell>
          <cell r="D307" t="str">
            <v>100000.00 A 200000.00</v>
          </cell>
          <cell r="E307">
            <v>2500</v>
          </cell>
          <cell r="F307">
            <v>200</v>
          </cell>
          <cell r="G307">
            <v>188</v>
          </cell>
          <cell r="H307">
            <v>45642</v>
          </cell>
          <cell r="I307">
            <v>46006</v>
          </cell>
          <cell r="J307">
            <v>46001</v>
          </cell>
          <cell r="K307">
            <v>0.70960000000000001</v>
          </cell>
          <cell r="L307">
            <v>0.68</v>
          </cell>
          <cell r="M307">
            <v>0.74909999999999999</v>
          </cell>
          <cell r="N307">
            <v>12</v>
          </cell>
          <cell r="O307">
            <v>10</v>
          </cell>
          <cell r="P307">
            <v>12</v>
          </cell>
          <cell r="Q307">
            <v>32</v>
          </cell>
          <cell r="R307">
            <v>66</v>
          </cell>
          <cell r="S307">
            <v>1</v>
          </cell>
          <cell r="T307">
            <v>1</v>
          </cell>
          <cell r="U307">
            <v>6</v>
          </cell>
          <cell r="V307">
            <v>1</v>
          </cell>
          <cell r="W307">
            <v>9</v>
          </cell>
        </row>
        <row r="308">
          <cell r="A308">
            <v>45962</v>
          </cell>
          <cell r="B308">
            <v>10045</v>
          </cell>
          <cell r="C308" t="str">
            <v>Não</v>
          </cell>
          <cell r="D308" t="str">
            <v>200000.00 A 400000.00</v>
          </cell>
          <cell r="E308">
            <v>2500</v>
          </cell>
          <cell r="F308">
            <v>200</v>
          </cell>
          <cell r="G308">
            <v>188</v>
          </cell>
          <cell r="H308">
            <v>45642</v>
          </cell>
          <cell r="I308">
            <v>46006</v>
          </cell>
          <cell r="J308">
            <v>46001</v>
          </cell>
          <cell r="K308">
            <v>0.76249999999999996</v>
          </cell>
          <cell r="L308">
            <v>0.7</v>
          </cell>
          <cell r="M308">
            <v>0.78</v>
          </cell>
          <cell r="N308">
            <v>12</v>
          </cell>
          <cell r="O308">
            <v>11</v>
          </cell>
          <cell r="P308">
            <v>9</v>
          </cell>
          <cell r="Q308">
            <v>25</v>
          </cell>
          <cell r="R308">
            <v>57</v>
          </cell>
          <cell r="S308">
            <v>1</v>
          </cell>
          <cell r="T308">
            <v>1</v>
          </cell>
          <cell r="U308">
            <v>6</v>
          </cell>
          <cell r="V308">
            <v>1</v>
          </cell>
          <cell r="W308">
            <v>9</v>
          </cell>
        </row>
        <row r="309">
          <cell r="A309">
            <v>45962</v>
          </cell>
          <cell r="B309">
            <v>10046</v>
          </cell>
          <cell r="C309" t="str">
            <v>Sim</v>
          </cell>
          <cell r="D309" t="str">
            <v>100000.00 A 200000.00</v>
          </cell>
          <cell r="E309">
            <v>2500</v>
          </cell>
          <cell r="F309">
            <v>200</v>
          </cell>
          <cell r="G309">
            <v>188</v>
          </cell>
          <cell r="H309">
            <v>45642</v>
          </cell>
          <cell r="I309">
            <v>46006</v>
          </cell>
          <cell r="J309">
            <v>46001</v>
          </cell>
          <cell r="K309">
            <v>0.79020000000000001</v>
          </cell>
          <cell r="L309">
            <v>0.79</v>
          </cell>
          <cell r="M309">
            <v>0.8</v>
          </cell>
          <cell r="N309">
            <v>12</v>
          </cell>
          <cell r="O309">
            <v>12</v>
          </cell>
          <cell r="P309">
            <v>12</v>
          </cell>
          <cell r="Q309">
            <v>70</v>
          </cell>
          <cell r="R309">
            <v>106</v>
          </cell>
          <cell r="S309">
            <v>1</v>
          </cell>
          <cell r="T309">
            <v>1</v>
          </cell>
          <cell r="U309">
            <v>6</v>
          </cell>
          <cell r="V309">
            <v>1</v>
          </cell>
          <cell r="W309">
            <v>9</v>
          </cell>
        </row>
        <row r="310">
          <cell r="A310">
            <v>45962</v>
          </cell>
          <cell r="B310">
            <v>10047</v>
          </cell>
          <cell r="C310" t="str">
            <v>Sim</v>
          </cell>
          <cell r="D310" t="str">
            <v>200000.00 A 400000.00</v>
          </cell>
          <cell r="E310">
            <v>2500</v>
          </cell>
          <cell r="F310">
            <v>200</v>
          </cell>
          <cell r="G310">
            <v>188</v>
          </cell>
          <cell r="H310">
            <v>45642</v>
          </cell>
          <cell r="I310">
            <v>46006</v>
          </cell>
          <cell r="J310">
            <v>46001</v>
          </cell>
          <cell r="K310">
            <v>0.79559999999999997</v>
          </cell>
          <cell r="L310">
            <v>0.78</v>
          </cell>
          <cell r="M310">
            <v>0.83</v>
          </cell>
          <cell r="N310">
            <v>12</v>
          </cell>
          <cell r="O310">
            <v>11</v>
          </cell>
          <cell r="P310">
            <v>12</v>
          </cell>
          <cell r="Q310">
            <v>72</v>
          </cell>
          <cell r="R310">
            <v>107</v>
          </cell>
          <cell r="S310">
            <v>1</v>
          </cell>
          <cell r="T310">
            <v>1</v>
          </cell>
          <cell r="U310">
            <v>8</v>
          </cell>
          <cell r="V310">
            <v>1</v>
          </cell>
          <cell r="W310">
            <v>11</v>
          </cell>
        </row>
        <row r="311">
          <cell r="A311">
            <v>45962</v>
          </cell>
          <cell r="B311">
            <v>10048</v>
          </cell>
          <cell r="C311" t="str">
            <v>Sim</v>
          </cell>
          <cell r="D311" t="str">
            <v>450000.00 A 900000.00</v>
          </cell>
          <cell r="E311">
            <v>2500</v>
          </cell>
          <cell r="F311">
            <v>200</v>
          </cell>
          <cell r="G311">
            <v>188</v>
          </cell>
          <cell r="H311">
            <v>45642</v>
          </cell>
          <cell r="I311">
            <v>46006</v>
          </cell>
          <cell r="J311">
            <v>46001</v>
          </cell>
          <cell r="K311">
            <v>0.81079999999999997</v>
          </cell>
          <cell r="L311">
            <v>0.80220000000000002</v>
          </cell>
          <cell r="M311">
            <v>0.8206</v>
          </cell>
          <cell r="N311">
            <v>12</v>
          </cell>
          <cell r="O311">
            <v>12</v>
          </cell>
          <cell r="P311">
            <v>12</v>
          </cell>
          <cell r="Q311">
            <v>92</v>
          </cell>
          <cell r="R311">
            <v>128</v>
          </cell>
          <cell r="S311">
            <v>1</v>
          </cell>
          <cell r="T311">
            <v>1</v>
          </cell>
          <cell r="U311">
            <v>14</v>
          </cell>
          <cell r="V311">
            <v>1</v>
          </cell>
          <cell r="W311">
            <v>17</v>
          </cell>
        </row>
        <row r="312">
          <cell r="A312">
            <v>45962</v>
          </cell>
          <cell r="B312">
            <v>10049</v>
          </cell>
          <cell r="C312" t="str">
            <v>Sim</v>
          </cell>
          <cell r="D312" t="str">
            <v>100000.00 A 200000.00</v>
          </cell>
          <cell r="E312">
            <v>2500</v>
          </cell>
          <cell r="F312">
            <v>200</v>
          </cell>
          <cell r="G312">
            <v>189</v>
          </cell>
          <cell r="H312">
            <v>45673</v>
          </cell>
          <cell r="I312">
            <v>46006</v>
          </cell>
          <cell r="J312">
            <v>46001</v>
          </cell>
          <cell r="K312">
            <v>0.78839999999999999</v>
          </cell>
          <cell r="L312">
            <v>0.77</v>
          </cell>
          <cell r="M312">
            <v>0.9</v>
          </cell>
          <cell r="N312">
            <v>11</v>
          </cell>
          <cell r="O312">
            <v>9</v>
          </cell>
          <cell r="P312">
            <v>11</v>
          </cell>
          <cell r="Q312">
            <v>68</v>
          </cell>
          <cell r="R312">
            <v>99</v>
          </cell>
          <cell r="S312">
            <v>1</v>
          </cell>
          <cell r="T312">
            <v>1</v>
          </cell>
          <cell r="U312">
            <v>12</v>
          </cell>
          <cell r="V312">
            <v>1</v>
          </cell>
          <cell r="W312">
            <v>15</v>
          </cell>
        </row>
        <row r="313">
          <cell r="A313">
            <v>45962</v>
          </cell>
          <cell r="B313">
            <v>10050</v>
          </cell>
          <cell r="C313" t="str">
            <v>Sim</v>
          </cell>
          <cell r="D313" t="str">
            <v>450000.00 A 900000.00</v>
          </cell>
          <cell r="E313">
            <v>2500</v>
          </cell>
          <cell r="F313">
            <v>200</v>
          </cell>
          <cell r="G313">
            <v>191</v>
          </cell>
          <cell r="H313">
            <v>45729</v>
          </cell>
          <cell r="I313">
            <v>46006</v>
          </cell>
          <cell r="J313">
            <v>46001</v>
          </cell>
          <cell r="K313">
            <v>0.83320000000000005</v>
          </cell>
          <cell r="L313">
            <v>0.80989999999999995</v>
          </cell>
          <cell r="M313">
            <v>0.95</v>
          </cell>
          <cell r="N313">
            <v>9</v>
          </cell>
          <cell r="O313">
            <v>8</v>
          </cell>
          <cell r="P313">
            <v>9</v>
          </cell>
          <cell r="Q313">
            <v>58</v>
          </cell>
          <cell r="R313">
            <v>84</v>
          </cell>
          <cell r="S313">
            <v>1</v>
          </cell>
          <cell r="T313">
            <v>1</v>
          </cell>
          <cell r="U313">
            <v>11</v>
          </cell>
          <cell r="V313">
            <v>1</v>
          </cell>
          <cell r="W313">
            <v>14</v>
          </cell>
        </row>
        <row r="314">
          <cell r="A314">
            <v>45962</v>
          </cell>
          <cell r="B314">
            <v>10051</v>
          </cell>
          <cell r="C314" t="str">
            <v>Sim</v>
          </cell>
          <cell r="D314" t="str">
            <v>100000.00 A 200000.00</v>
          </cell>
          <cell r="E314">
            <v>2500</v>
          </cell>
          <cell r="F314">
            <v>200</v>
          </cell>
          <cell r="G314">
            <v>192</v>
          </cell>
          <cell r="H314">
            <v>45763</v>
          </cell>
          <cell r="I314">
            <v>46006</v>
          </cell>
          <cell r="J314">
            <v>46001</v>
          </cell>
          <cell r="K314">
            <v>0.74509999999999998</v>
          </cell>
          <cell r="L314">
            <v>0.75229999999999997</v>
          </cell>
          <cell r="M314">
            <v>0.77</v>
          </cell>
          <cell r="N314">
            <v>8</v>
          </cell>
          <cell r="O314">
            <v>7</v>
          </cell>
          <cell r="P314">
            <v>8</v>
          </cell>
          <cell r="Q314">
            <v>37</v>
          </cell>
          <cell r="R314">
            <v>60</v>
          </cell>
          <cell r="S314">
            <v>1</v>
          </cell>
          <cell r="T314">
            <v>1</v>
          </cell>
          <cell r="U314">
            <v>12</v>
          </cell>
          <cell r="V314">
            <v>1</v>
          </cell>
          <cell r="W314">
            <v>15</v>
          </cell>
        </row>
        <row r="315">
          <cell r="A315">
            <v>45962</v>
          </cell>
          <cell r="B315">
            <v>10052</v>
          </cell>
          <cell r="C315" t="str">
            <v>Sim</v>
          </cell>
          <cell r="D315" t="str">
            <v>200000.00 A 400000.00</v>
          </cell>
          <cell r="E315">
            <v>2500</v>
          </cell>
          <cell r="F315">
            <v>200</v>
          </cell>
          <cell r="G315">
            <v>193</v>
          </cell>
          <cell r="H315">
            <v>45792</v>
          </cell>
          <cell r="I315">
            <v>46006</v>
          </cell>
          <cell r="J315">
            <v>46001</v>
          </cell>
          <cell r="K315">
            <v>0.7772</v>
          </cell>
          <cell r="L315">
            <v>0.75360000000000005</v>
          </cell>
          <cell r="M315">
            <v>0.79200000000000004</v>
          </cell>
          <cell r="N315">
            <v>7</v>
          </cell>
          <cell r="O315">
            <v>7</v>
          </cell>
          <cell r="P315">
            <v>5</v>
          </cell>
          <cell r="Q315">
            <v>29</v>
          </cell>
          <cell r="R315">
            <v>48</v>
          </cell>
          <cell r="S315">
            <v>1</v>
          </cell>
          <cell r="T315">
            <v>1</v>
          </cell>
          <cell r="U315">
            <v>10</v>
          </cell>
          <cell r="V315">
            <v>1</v>
          </cell>
          <cell r="W315">
            <v>13</v>
          </cell>
        </row>
        <row r="316">
          <cell r="A316">
            <v>45962</v>
          </cell>
          <cell r="B316">
            <v>10053</v>
          </cell>
          <cell r="C316" t="str">
            <v>Sim</v>
          </cell>
          <cell r="D316" t="str">
            <v>450000.00 A 900000.00</v>
          </cell>
          <cell r="E316">
            <v>2500</v>
          </cell>
          <cell r="F316">
            <v>200</v>
          </cell>
          <cell r="G316">
            <v>196</v>
          </cell>
          <cell r="H316">
            <v>45883</v>
          </cell>
          <cell r="I316">
            <v>46006</v>
          </cell>
          <cell r="J316">
            <v>46001</v>
          </cell>
          <cell r="K316">
            <v>0.85429999999999995</v>
          </cell>
          <cell r="L316">
            <v>0.83</v>
          </cell>
          <cell r="M316">
            <v>0.98</v>
          </cell>
          <cell r="N316">
            <v>4</v>
          </cell>
          <cell r="O316">
            <v>4</v>
          </cell>
          <cell r="P316">
            <v>4</v>
          </cell>
          <cell r="Q316">
            <v>15</v>
          </cell>
          <cell r="R316">
            <v>27</v>
          </cell>
          <cell r="S316">
            <v>1</v>
          </cell>
          <cell r="T316">
            <v>1</v>
          </cell>
          <cell r="U316">
            <v>11</v>
          </cell>
          <cell r="V316">
            <v>1</v>
          </cell>
          <cell r="W316">
            <v>14</v>
          </cell>
        </row>
        <row r="317">
          <cell r="A317">
            <v>45962</v>
          </cell>
          <cell r="B317">
            <v>10054</v>
          </cell>
          <cell r="C317" t="str">
            <v>Sim</v>
          </cell>
          <cell r="D317" t="str">
            <v>100000.00 A 200000.00</v>
          </cell>
          <cell r="E317">
            <v>2500</v>
          </cell>
          <cell r="F317">
            <v>200</v>
          </cell>
          <cell r="G317">
            <v>196</v>
          </cell>
          <cell r="H317">
            <v>45883</v>
          </cell>
          <cell r="I317">
            <v>46006</v>
          </cell>
          <cell r="J317">
            <v>46001</v>
          </cell>
          <cell r="K317">
            <v>0.79490000000000005</v>
          </cell>
          <cell r="L317">
            <v>0.78400000000000003</v>
          </cell>
          <cell r="M317">
            <v>0.85709999999999997</v>
          </cell>
          <cell r="N317">
            <v>4</v>
          </cell>
          <cell r="O317">
            <v>4</v>
          </cell>
          <cell r="P317">
            <v>4</v>
          </cell>
          <cell r="Q317">
            <v>17</v>
          </cell>
          <cell r="R317">
            <v>29</v>
          </cell>
          <cell r="S317">
            <v>1</v>
          </cell>
          <cell r="T317">
            <v>1</v>
          </cell>
          <cell r="U317">
            <v>11</v>
          </cell>
          <cell r="V317">
            <v>1</v>
          </cell>
          <cell r="W317">
            <v>14</v>
          </cell>
        </row>
        <row r="318">
          <cell r="A318">
            <v>45962</v>
          </cell>
          <cell r="B318">
            <v>10055</v>
          </cell>
          <cell r="C318" t="str">
            <v>Sim</v>
          </cell>
          <cell r="D318" t="str">
            <v>100000.00 A 200000.00</v>
          </cell>
          <cell r="E318">
            <v>2500</v>
          </cell>
          <cell r="F318">
            <v>200</v>
          </cell>
          <cell r="G318">
            <v>198</v>
          </cell>
          <cell r="H318">
            <v>45946</v>
          </cell>
          <cell r="I318">
            <v>46006</v>
          </cell>
          <cell r="J318">
            <v>46001</v>
          </cell>
          <cell r="K318">
            <v>0.80689999999999995</v>
          </cell>
          <cell r="L318">
            <v>0.78</v>
          </cell>
          <cell r="M318">
            <v>0.86150000000000004</v>
          </cell>
          <cell r="N318">
            <v>2</v>
          </cell>
          <cell r="O318">
            <v>2</v>
          </cell>
          <cell r="P318">
            <v>2</v>
          </cell>
          <cell r="Q318">
            <v>6</v>
          </cell>
          <cell r="R318">
            <v>12</v>
          </cell>
          <cell r="S318">
            <v>1</v>
          </cell>
          <cell r="T318">
            <v>1</v>
          </cell>
          <cell r="U318">
            <v>6</v>
          </cell>
          <cell r="V318">
            <v>1</v>
          </cell>
          <cell r="W318">
            <v>9</v>
          </cell>
        </row>
        <row r="319">
          <cell r="A319">
            <v>45962</v>
          </cell>
          <cell r="B319">
            <v>10056</v>
          </cell>
          <cell r="C319" t="str">
            <v>Sim</v>
          </cell>
          <cell r="D319" t="str">
            <v>200000.00 A 400000.00</v>
          </cell>
          <cell r="E319">
            <v>2500</v>
          </cell>
          <cell r="F319">
            <v>200</v>
          </cell>
          <cell r="G319">
            <v>199</v>
          </cell>
          <cell r="H319">
            <v>45974</v>
          </cell>
          <cell r="I319">
            <v>46006</v>
          </cell>
          <cell r="J319">
            <v>46001</v>
          </cell>
          <cell r="K319">
            <v>0.8</v>
          </cell>
          <cell r="L319">
            <v>0.8</v>
          </cell>
          <cell r="M319">
            <v>0.8</v>
          </cell>
          <cell r="N319">
            <v>1</v>
          </cell>
          <cell r="O319">
            <v>1</v>
          </cell>
          <cell r="P319">
            <v>1</v>
          </cell>
          <cell r="Q319">
            <v>2</v>
          </cell>
          <cell r="R319">
            <v>5</v>
          </cell>
          <cell r="S319">
            <v>1</v>
          </cell>
          <cell r="T319">
            <v>1</v>
          </cell>
          <cell r="U319">
            <v>2</v>
          </cell>
          <cell r="V319">
            <v>1</v>
          </cell>
          <cell r="W319">
            <v>5</v>
          </cell>
        </row>
        <row r="320">
          <cell r="A320">
            <v>45992</v>
          </cell>
          <cell r="B320">
            <v>10001</v>
          </cell>
          <cell r="C320" t="str">
            <v>Não</v>
          </cell>
          <cell r="D320" t="str">
            <v>61273.14 A 110291.66</v>
          </cell>
          <cell r="E320">
            <v>1000</v>
          </cell>
          <cell r="F320">
            <v>200</v>
          </cell>
          <cell r="G320">
            <v>150</v>
          </cell>
          <cell r="H320">
            <v>44522</v>
          </cell>
          <cell r="I320">
            <v>46037</v>
          </cell>
          <cell r="J320">
            <v>46034</v>
          </cell>
          <cell r="K320">
            <v>0.56359999999999999</v>
          </cell>
          <cell r="L320">
            <v>0.53839999999999999</v>
          </cell>
          <cell r="M320">
            <v>0.6</v>
          </cell>
          <cell r="N320">
            <v>49</v>
          </cell>
          <cell r="O320">
            <v>82</v>
          </cell>
          <cell r="P320">
            <v>36</v>
          </cell>
          <cell r="Q320">
            <v>136</v>
          </cell>
          <cell r="R320">
            <v>303</v>
          </cell>
          <cell r="S320">
            <v>1</v>
          </cell>
          <cell r="T320">
            <v>1</v>
          </cell>
          <cell r="U320">
            <v>7</v>
          </cell>
          <cell r="V320">
            <v>1</v>
          </cell>
          <cell r="W320">
            <v>10</v>
          </cell>
        </row>
        <row r="321">
          <cell r="A321">
            <v>45992</v>
          </cell>
          <cell r="B321">
            <v>10002</v>
          </cell>
          <cell r="C321" t="str">
            <v>Não</v>
          </cell>
          <cell r="D321" t="str">
            <v>114331.18 A 228662.37</v>
          </cell>
          <cell r="E321">
            <v>1000</v>
          </cell>
          <cell r="F321">
            <v>200</v>
          </cell>
          <cell r="G321">
            <v>154</v>
          </cell>
          <cell r="H321">
            <v>44641</v>
          </cell>
          <cell r="I321">
            <v>46037</v>
          </cell>
          <cell r="J321">
            <v>46034</v>
          </cell>
          <cell r="K321">
            <v>0.60970000000000002</v>
          </cell>
          <cell r="L321">
            <v>0.53</v>
          </cell>
          <cell r="M321">
            <v>0.71099999999999997</v>
          </cell>
          <cell r="N321">
            <v>45</v>
          </cell>
          <cell r="O321">
            <v>62</v>
          </cell>
          <cell r="P321">
            <v>40</v>
          </cell>
          <cell r="Q321">
            <v>157</v>
          </cell>
          <cell r="R321">
            <v>304</v>
          </cell>
          <cell r="S321">
            <v>1</v>
          </cell>
          <cell r="T321">
            <v>1</v>
          </cell>
          <cell r="U321">
            <v>13</v>
          </cell>
          <cell r="V321">
            <v>1</v>
          </cell>
          <cell r="W321">
            <v>16</v>
          </cell>
        </row>
        <row r="322">
          <cell r="A322">
            <v>45992</v>
          </cell>
          <cell r="B322">
            <v>10003</v>
          </cell>
          <cell r="C322" t="str">
            <v>Não</v>
          </cell>
          <cell r="D322" t="str">
            <v>251528.60 A 457324.74</v>
          </cell>
          <cell r="E322">
            <v>1000</v>
          </cell>
          <cell r="F322">
            <v>200</v>
          </cell>
          <cell r="G322">
            <v>154</v>
          </cell>
          <cell r="H322">
            <v>44641</v>
          </cell>
          <cell r="I322">
            <v>46037</v>
          </cell>
          <cell r="J322">
            <v>46034</v>
          </cell>
          <cell r="K322">
            <v>0.61019999999999996</v>
          </cell>
          <cell r="L322">
            <v>0.55659999999999998</v>
          </cell>
          <cell r="M322">
            <v>0.77</v>
          </cell>
          <cell r="N322">
            <v>42</v>
          </cell>
          <cell r="O322">
            <v>135</v>
          </cell>
          <cell r="P322">
            <v>34</v>
          </cell>
          <cell r="Q322">
            <v>161</v>
          </cell>
          <cell r="R322">
            <v>372</v>
          </cell>
          <cell r="S322">
            <v>1</v>
          </cell>
          <cell r="T322">
            <v>1</v>
          </cell>
          <cell r="U322">
            <v>10</v>
          </cell>
          <cell r="V322">
            <v>1</v>
          </cell>
          <cell r="W322">
            <v>13</v>
          </cell>
        </row>
        <row r="323">
          <cell r="A323">
            <v>45992</v>
          </cell>
          <cell r="B323">
            <v>10004</v>
          </cell>
          <cell r="C323" t="str">
            <v>Sim</v>
          </cell>
          <cell r="D323" t="str">
            <v>122546.29 A 245092.57</v>
          </cell>
          <cell r="E323">
            <v>1000</v>
          </cell>
          <cell r="F323">
            <v>200</v>
          </cell>
          <cell r="G323">
            <v>150</v>
          </cell>
          <cell r="H323">
            <v>44518</v>
          </cell>
          <cell r="I323">
            <v>46037</v>
          </cell>
          <cell r="J323">
            <v>46034</v>
          </cell>
          <cell r="K323">
            <v>0.68799999999999994</v>
          </cell>
          <cell r="L323">
            <v>0.66910000000000003</v>
          </cell>
          <cell r="M323">
            <v>0.70040000000000002</v>
          </cell>
          <cell r="N323">
            <v>49</v>
          </cell>
          <cell r="O323">
            <v>56</v>
          </cell>
          <cell r="P323">
            <v>43</v>
          </cell>
          <cell r="Q323">
            <v>183</v>
          </cell>
          <cell r="R323">
            <v>331</v>
          </cell>
          <cell r="S323">
            <v>1</v>
          </cell>
          <cell r="T323">
            <v>1</v>
          </cell>
          <cell r="U323">
            <v>9</v>
          </cell>
          <cell r="V323">
            <v>1</v>
          </cell>
          <cell r="W323">
            <v>12</v>
          </cell>
        </row>
        <row r="324">
          <cell r="A324">
            <v>45992</v>
          </cell>
          <cell r="B324">
            <v>10005</v>
          </cell>
          <cell r="C324" t="str">
            <v>Sim</v>
          </cell>
          <cell r="D324" t="str">
            <v>269601.82 A 490185.13</v>
          </cell>
          <cell r="E324">
            <v>1000</v>
          </cell>
          <cell r="F324">
            <v>200</v>
          </cell>
          <cell r="G324">
            <v>150</v>
          </cell>
          <cell r="H324">
            <v>44518</v>
          </cell>
          <cell r="I324">
            <v>46037</v>
          </cell>
          <cell r="J324">
            <v>46034</v>
          </cell>
          <cell r="K324">
            <v>0.71750000000000003</v>
          </cell>
          <cell r="L324">
            <v>0.71870000000000001</v>
          </cell>
          <cell r="M324">
            <v>0.75</v>
          </cell>
          <cell r="N324">
            <v>50</v>
          </cell>
          <cell r="O324">
            <v>53</v>
          </cell>
          <cell r="P324">
            <v>43</v>
          </cell>
          <cell r="Q324">
            <v>203</v>
          </cell>
          <cell r="R324">
            <v>349</v>
          </cell>
          <cell r="S324">
            <v>1</v>
          </cell>
          <cell r="T324">
            <v>1</v>
          </cell>
          <cell r="U324">
            <v>9</v>
          </cell>
          <cell r="V324">
            <v>1</v>
          </cell>
          <cell r="W324">
            <v>12</v>
          </cell>
        </row>
        <row r="325">
          <cell r="A325">
            <v>45992</v>
          </cell>
          <cell r="B325">
            <v>10006</v>
          </cell>
          <cell r="C325" t="str">
            <v>Sim</v>
          </cell>
          <cell r="D325" t="str">
            <v>551458.27 A 1102916.54</v>
          </cell>
          <cell r="E325">
            <v>1000</v>
          </cell>
          <cell r="F325">
            <v>200</v>
          </cell>
          <cell r="G325">
            <v>150</v>
          </cell>
          <cell r="H325">
            <v>44518</v>
          </cell>
          <cell r="I325">
            <v>46037</v>
          </cell>
          <cell r="J325">
            <v>46034</v>
          </cell>
          <cell r="K325">
            <v>0.72719999999999996</v>
          </cell>
          <cell r="L325">
            <v>0.71099999999999997</v>
          </cell>
          <cell r="M325">
            <v>0.75</v>
          </cell>
          <cell r="N325">
            <v>48</v>
          </cell>
          <cell r="O325">
            <v>63</v>
          </cell>
          <cell r="P325">
            <v>43</v>
          </cell>
          <cell r="Q325">
            <v>247</v>
          </cell>
          <cell r="R325">
            <v>401</v>
          </cell>
          <cell r="S325">
            <v>1</v>
          </cell>
          <cell r="T325">
            <v>1</v>
          </cell>
          <cell r="U325">
            <v>11</v>
          </cell>
          <cell r="V325">
            <v>1</v>
          </cell>
          <cell r="W325">
            <v>14</v>
          </cell>
        </row>
        <row r="326">
          <cell r="A326">
            <v>45992</v>
          </cell>
          <cell r="B326">
            <v>10007</v>
          </cell>
          <cell r="C326" t="str">
            <v>Sim</v>
          </cell>
          <cell r="D326" t="str">
            <v>115097.19 A 230194.37</v>
          </cell>
          <cell r="E326">
            <v>1000</v>
          </cell>
          <cell r="F326">
            <v>200</v>
          </cell>
          <cell r="G326">
            <v>153</v>
          </cell>
          <cell r="H326">
            <v>44613</v>
          </cell>
          <cell r="I326">
            <v>46037</v>
          </cell>
          <cell r="J326">
            <v>46034</v>
          </cell>
          <cell r="K326">
            <v>0.66559999999999997</v>
          </cell>
          <cell r="L326">
            <v>0.64780000000000004</v>
          </cell>
          <cell r="M326">
            <v>0.69510000000000005</v>
          </cell>
          <cell r="N326">
            <v>46</v>
          </cell>
          <cell r="O326">
            <v>113</v>
          </cell>
          <cell r="P326">
            <v>39</v>
          </cell>
          <cell r="Q326">
            <v>188</v>
          </cell>
          <cell r="R326">
            <v>386</v>
          </cell>
          <cell r="S326">
            <v>1</v>
          </cell>
          <cell r="T326">
            <v>1</v>
          </cell>
          <cell r="U326">
            <v>8</v>
          </cell>
          <cell r="V326">
            <v>1</v>
          </cell>
          <cell r="W326">
            <v>11</v>
          </cell>
        </row>
        <row r="327">
          <cell r="A327">
            <v>45992</v>
          </cell>
          <cell r="B327">
            <v>10008</v>
          </cell>
          <cell r="C327" t="str">
            <v>Sim</v>
          </cell>
          <cell r="D327" t="str">
            <v>251528.60 A 457324.74</v>
          </cell>
          <cell r="E327">
            <v>1000</v>
          </cell>
          <cell r="F327">
            <v>200</v>
          </cell>
          <cell r="G327">
            <v>154</v>
          </cell>
          <cell r="H327">
            <v>44641</v>
          </cell>
          <cell r="I327">
            <v>46037</v>
          </cell>
          <cell r="J327">
            <v>46034</v>
          </cell>
          <cell r="K327">
            <v>0.70299999999999996</v>
          </cell>
          <cell r="L327">
            <v>0.71099999999999997</v>
          </cell>
          <cell r="M327">
            <v>0.77</v>
          </cell>
          <cell r="N327">
            <v>45</v>
          </cell>
          <cell r="O327">
            <v>91</v>
          </cell>
          <cell r="P327">
            <v>42</v>
          </cell>
          <cell r="Q327">
            <v>190</v>
          </cell>
          <cell r="R327">
            <v>368</v>
          </cell>
          <cell r="S327">
            <v>1</v>
          </cell>
          <cell r="T327">
            <v>1</v>
          </cell>
          <cell r="U327">
            <v>14</v>
          </cell>
          <cell r="V327">
            <v>1</v>
          </cell>
          <cell r="W327">
            <v>17</v>
          </cell>
        </row>
        <row r="328">
          <cell r="A328">
            <v>45992</v>
          </cell>
          <cell r="B328">
            <v>10009</v>
          </cell>
          <cell r="C328" t="str">
            <v>Sim</v>
          </cell>
          <cell r="D328" t="str">
            <v>114331.18 A 228662.37</v>
          </cell>
          <cell r="E328">
            <v>1000</v>
          </cell>
          <cell r="F328">
            <v>200</v>
          </cell>
          <cell r="G328">
            <v>154</v>
          </cell>
          <cell r="H328">
            <v>44641</v>
          </cell>
          <cell r="I328">
            <v>46037</v>
          </cell>
          <cell r="J328">
            <v>46034</v>
          </cell>
          <cell r="K328">
            <v>0.70309999999999995</v>
          </cell>
          <cell r="L328">
            <v>0.66779999999999995</v>
          </cell>
          <cell r="M328">
            <v>0.7177</v>
          </cell>
          <cell r="N328">
            <v>45</v>
          </cell>
          <cell r="O328">
            <v>83</v>
          </cell>
          <cell r="P328">
            <v>41</v>
          </cell>
          <cell r="Q328">
            <v>172</v>
          </cell>
          <cell r="R328">
            <v>341</v>
          </cell>
          <cell r="S328">
            <v>1</v>
          </cell>
          <cell r="T328">
            <v>1</v>
          </cell>
          <cell r="U328">
            <v>9</v>
          </cell>
          <cell r="V328">
            <v>1</v>
          </cell>
          <cell r="W328">
            <v>12</v>
          </cell>
        </row>
        <row r="329">
          <cell r="A329">
            <v>45992</v>
          </cell>
          <cell r="B329">
            <v>10010</v>
          </cell>
          <cell r="C329" t="str">
            <v>Sim</v>
          </cell>
          <cell r="D329" t="str">
            <v>514490.33 A 1028980.65</v>
          </cell>
          <cell r="E329">
            <v>1000</v>
          </cell>
          <cell r="F329">
            <v>200</v>
          </cell>
          <cell r="G329">
            <v>154</v>
          </cell>
          <cell r="H329">
            <v>44641</v>
          </cell>
          <cell r="I329">
            <v>46037</v>
          </cell>
          <cell r="J329">
            <v>46034</v>
          </cell>
          <cell r="K329">
            <v>0.77400000000000002</v>
          </cell>
          <cell r="L329">
            <v>0.77</v>
          </cell>
          <cell r="M329">
            <v>0.77</v>
          </cell>
          <cell r="N329">
            <v>46</v>
          </cell>
          <cell r="O329">
            <v>69</v>
          </cell>
          <cell r="P329">
            <v>36</v>
          </cell>
          <cell r="Q329">
            <v>214</v>
          </cell>
          <cell r="R329">
            <v>365</v>
          </cell>
          <cell r="S329">
            <v>1</v>
          </cell>
          <cell r="T329">
            <v>1</v>
          </cell>
          <cell r="U329">
            <v>9</v>
          </cell>
          <cell r="V329">
            <v>1</v>
          </cell>
          <cell r="W329">
            <v>12</v>
          </cell>
        </row>
        <row r="330">
          <cell r="A330">
            <v>45992</v>
          </cell>
          <cell r="B330">
            <v>10011</v>
          </cell>
          <cell r="C330" t="str">
            <v>Não</v>
          </cell>
          <cell r="D330" t="str">
            <v>57165.59 A 102898.06</v>
          </cell>
          <cell r="E330">
            <v>1000</v>
          </cell>
          <cell r="F330">
            <v>200</v>
          </cell>
          <cell r="G330">
            <v>154</v>
          </cell>
          <cell r="H330">
            <v>44641</v>
          </cell>
          <cell r="I330">
            <v>46037</v>
          </cell>
          <cell r="J330">
            <v>46034</v>
          </cell>
          <cell r="K330">
            <v>0.54049999999999998</v>
          </cell>
          <cell r="L330">
            <v>0.5423</v>
          </cell>
          <cell r="M330">
            <v>0.55000000000000004</v>
          </cell>
          <cell r="N330">
            <v>44</v>
          </cell>
          <cell r="O330">
            <v>47</v>
          </cell>
          <cell r="P330">
            <v>36</v>
          </cell>
          <cell r="Q330">
            <v>116</v>
          </cell>
          <cell r="R330">
            <v>243</v>
          </cell>
          <cell r="S330">
            <v>1</v>
          </cell>
          <cell r="T330">
            <v>1</v>
          </cell>
          <cell r="U330">
            <v>4</v>
          </cell>
          <cell r="V330">
            <v>1</v>
          </cell>
          <cell r="W330">
            <v>7</v>
          </cell>
        </row>
        <row r="331">
          <cell r="A331">
            <v>45992</v>
          </cell>
          <cell r="B331">
            <v>10012</v>
          </cell>
          <cell r="C331" t="str">
            <v>Sim</v>
          </cell>
          <cell r="D331" t="str">
            <v>248357.94 A 451559.90</v>
          </cell>
          <cell r="E331">
            <v>1000</v>
          </cell>
          <cell r="F331">
            <v>200</v>
          </cell>
          <cell r="G331">
            <v>157</v>
          </cell>
          <cell r="H331">
            <v>44732</v>
          </cell>
          <cell r="I331">
            <v>46037</v>
          </cell>
          <cell r="J331">
            <v>46034</v>
          </cell>
          <cell r="K331">
            <v>0.70750000000000002</v>
          </cell>
          <cell r="L331">
            <v>0.67</v>
          </cell>
          <cell r="M331">
            <v>0.78500000000000003</v>
          </cell>
          <cell r="N331">
            <v>42</v>
          </cell>
          <cell r="O331">
            <v>85</v>
          </cell>
          <cell r="P331">
            <v>36</v>
          </cell>
          <cell r="Q331">
            <v>177</v>
          </cell>
          <cell r="R331">
            <v>340</v>
          </cell>
          <cell r="S331">
            <v>1</v>
          </cell>
          <cell r="T331">
            <v>1</v>
          </cell>
          <cell r="U331">
            <v>11</v>
          </cell>
          <cell r="V331">
            <v>1</v>
          </cell>
          <cell r="W331">
            <v>14</v>
          </cell>
        </row>
        <row r="332">
          <cell r="A332">
            <v>45992</v>
          </cell>
          <cell r="B332">
            <v>10013</v>
          </cell>
          <cell r="C332" t="str">
            <v>Sim</v>
          </cell>
          <cell r="D332" t="str">
            <v>508004.88 A 1016009.75</v>
          </cell>
          <cell r="E332">
            <v>1000</v>
          </cell>
          <cell r="F332">
            <v>200</v>
          </cell>
          <cell r="G332">
            <v>157</v>
          </cell>
          <cell r="H332">
            <v>44732</v>
          </cell>
          <cell r="I332">
            <v>46037</v>
          </cell>
          <cell r="J332">
            <v>46034</v>
          </cell>
          <cell r="K332">
            <v>0.75849999999999995</v>
          </cell>
          <cell r="L332">
            <v>0.75219999999999998</v>
          </cell>
          <cell r="M332">
            <v>0.78500000000000003</v>
          </cell>
          <cell r="N332">
            <v>41</v>
          </cell>
          <cell r="O332">
            <v>108</v>
          </cell>
          <cell r="P332">
            <v>36</v>
          </cell>
          <cell r="Q332">
            <v>195</v>
          </cell>
          <cell r="R332">
            <v>380</v>
          </cell>
          <cell r="S332">
            <v>1</v>
          </cell>
          <cell r="T332">
            <v>1</v>
          </cell>
          <cell r="U332">
            <v>11</v>
          </cell>
          <cell r="V332">
            <v>1</v>
          </cell>
          <cell r="W332">
            <v>14</v>
          </cell>
        </row>
        <row r="333">
          <cell r="A333">
            <v>45992</v>
          </cell>
          <cell r="B333">
            <v>10014</v>
          </cell>
          <cell r="C333" t="str">
            <v>Sim</v>
          </cell>
          <cell r="D333" t="str">
            <v>113519.11 A 227038.20</v>
          </cell>
          <cell r="E333">
            <v>1000</v>
          </cell>
          <cell r="F333">
            <v>200</v>
          </cell>
          <cell r="G333">
            <v>156</v>
          </cell>
          <cell r="H333">
            <v>44708</v>
          </cell>
          <cell r="I333">
            <v>46037</v>
          </cell>
          <cell r="J333">
            <v>46034</v>
          </cell>
          <cell r="K333">
            <v>0.69940000000000002</v>
          </cell>
          <cell r="L333">
            <v>0.65900000000000003</v>
          </cell>
          <cell r="M333">
            <v>0.78</v>
          </cell>
          <cell r="N333">
            <v>44</v>
          </cell>
          <cell r="O333">
            <v>93</v>
          </cell>
          <cell r="P333">
            <v>38</v>
          </cell>
          <cell r="Q333">
            <v>166</v>
          </cell>
          <cell r="R333">
            <v>341</v>
          </cell>
          <cell r="S333">
            <v>1</v>
          </cell>
          <cell r="T333">
            <v>1</v>
          </cell>
          <cell r="U333">
            <v>11</v>
          </cell>
          <cell r="V333">
            <v>1</v>
          </cell>
          <cell r="W333">
            <v>14</v>
          </cell>
        </row>
        <row r="334">
          <cell r="A334">
            <v>45992</v>
          </cell>
          <cell r="B334">
            <v>10015</v>
          </cell>
          <cell r="C334" t="str">
            <v>Sim</v>
          </cell>
          <cell r="D334" t="str">
            <v>112777.57 A 225555.15</v>
          </cell>
          <cell r="E334">
            <v>1000</v>
          </cell>
          <cell r="F334">
            <v>200</v>
          </cell>
          <cell r="G334">
            <v>158</v>
          </cell>
          <cell r="H334">
            <v>44760</v>
          </cell>
          <cell r="I334">
            <v>46037</v>
          </cell>
          <cell r="J334">
            <v>46034</v>
          </cell>
          <cell r="K334">
            <v>0.67559999999999998</v>
          </cell>
          <cell r="L334">
            <v>0.66</v>
          </cell>
          <cell r="M334">
            <v>0.75</v>
          </cell>
          <cell r="N334">
            <v>42</v>
          </cell>
          <cell r="O334">
            <v>89</v>
          </cell>
          <cell r="P334">
            <v>36</v>
          </cell>
          <cell r="Q334">
            <v>154</v>
          </cell>
          <cell r="R334">
            <v>321</v>
          </cell>
          <cell r="S334">
            <v>1</v>
          </cell>
          <cell r="T334">
            <v>1</v>
          </cell>
          <cell r="U334">
            <v>14</v>
          </cell>
          <cell r="V334">
            <v>1</v>
          </cell>
          <cell r="W334">
            <v>17</v>
          </cell>
        </row>
        <row r="335">
          <cell r="A335">
            <v>45992</v>
          </cell>
          <cell r="B335">
            <v>10016</v>
          </cell>
          <cell r="C335" t="str">
            <v>Não</v>
          </cell>
          <cell r="D335" t="str">
            <v>56627.95 A 101930.32</v>
          </cell>
          <cell r="E335">
            <v>1000</v>
          </cell>
          <cell r="F335">
            <v>200</v>
          </cell>
          <cell r="G335">
            <v>160</v>
          </cell>
          <cell r="H335">
            <v>44832</v>
          </cell>
          <cell r="I335">
            <v>46037</v>
          </cell>
          <cell r="J335">
            <v>46034</v>
          </cell>
          <cell r="K335">
            <v>0.65820000000000001</v>
          </cell>
          <cell r="L335">
            <v>0.66100000000000003</v>
          </cell>
          <cell r="M335">
            <v>0.7</v>
          </cell>
          <cell r="N335">
            <v>36</v>
          </cell>
          <cell r="O335">
            <v>47</v>
          </cell>
          <cell r="P335">
            <v>30</v>
          </cell>
          <cell r="Q335">
            <v>87</v>
          </cell>
          <cell r="R335">
            <v>200</v>
          </cell>
          <cell r="S335">
            <v>1</v>
          </cell>
          <cell r="T335">
            <v>1</v>
          </cell>
          <cell r="U335">
            <v>5</v>
          </cell>
          <cell r="V335">
            <v>1</v>
          </cell>
          <cell r="W335">
            <v>8</v>
          </cell>
        </row>
        <row r="336">
          <cell r="A336">
            <v>45992</v>
          </cell>
          <cell r="B336">
            <v>10017</v>
          </cell>
          <cell r="C336" t="str">
            <v>Sim</v>
          </cell>
          <cell r="D336" t="str">
            <v>247149.03 A 449361.88</v>
          </cell>
          <cell r="E336">
            <v>1000</v>
          </cell>
          <cell r="F336">
            <v>200</v>
          </cell>
          <cell r="G336">
            <v>159</v>
          </cell>
          <cell r="H336">
            <v>44802</v>
          </cell>
          <cell r="I336">
            <v>46037</v>
          </cell>
          <cell r="J336">
            <v>46034</v>
          </cell>
          <cell r="K336">
            <v>0.77339999999999998</v>
          </cell>
          <cell r="L336">
            <v>0.75</v>
          </cell>
          <cell r="M336">
            <v>0.79500000000000004</v>
          </cell>
          <cell r="N336">
            <v>41</v>
          </cell>
          <cell r="O336">
            <v>52</v>
          </cell>
          <cell r="P336">
            <v>35</v>
          </cell>
          <cell r="Q336">
            <v>161</v>
          </cell>
          <cell r="R336">
            <v>289</v>
          </cell>
          <cell r="S336">
            <v>1</v>
          </cell>
          <cell r="T336">
            <v>1</v>
          </cell>
          <cell r="U336">
            <v>12</v>
          </cell>
          <cell r="V336">
            <v>1</v>
          </cell>
          <cell r="W336">
            <v>15</v>
          </cell>
        </row>
        <row r="337">
          <cell r="A337">
            <v>45992</v>
          </cell>
          <cell r="B337">
            <v>10018</v>
          </cell>
          <cell r="C337" t="str">
            <v>Sim</v>
          </cell>
          <cell r="D337" t="str">
            <v>112340.47 A 224680.93</v>
          </cell>
          <cell r="E337">
            <v>1000</v>
          </cell>
          <cell r="F337">
            <v>200</v>
          </cell>
          <cell r="G337">
            <v>159</v>
          </cell>
          <cell r="H337">
            <v>44802</v>
          </cell>
          <cell r="I337">
            <v>46037</v>
          </cell>
          <cell r="J337">
            <v>46034</v>
          </cell>
          <cell r="K337">
            <v>0.69799999999999995</v>
          </cell>
          <cell r="L337">
            <v>0.6573</v>
          </cell>
          <cell r="M337">
            <v>0.79500000000000004</v>
          </cell>
          <cell r="N337">
            <v>40</v>
          </cell>
          <cell r="O337">
            <v>58</v>
          </cell>
          <cell r="P337">
            <v>36</v>
          </cell>
          <cell r="Q337">
            <v>131</v>
          </cell>
          <cell r="R337">
            <v>265</v>
          </cell>
          <cell r="S337">
            <v>1</v>
          </cell>
          <cell r="T337">
            <v>1</v>
          </cell>
          <cell r="U337">
            <v>8</v>
          </cell>
          <cell r="V337">
            <v>1</v>
          </cell>
          <cell r="W337">
            <v>11</v>
          </cell>
        </row>
        <row r="338">
          <cell r="A338">
            <v>45992</v>
          </cell>
          <cell r="B338">
            <v>10019</v>
          </cell>
          <cell r="C338" t="str">
            <v>Não</v>
          </cell>
          <cell r="D338" t="str">
            <v>113255.91 A 226511.82</v>
          </cell>
          <cell r="E338">
            <v>1000</v>
          </cell>
          <cell r="F338">
            <v>200</v>
          </cell>
          <cell r="G338">
            <v>160</v>
          </cell>
          <cell r="H338">
            <v>44832</v>
          </cell>
          <cell r="I338">
            <v>46037</v>
          </cell>
          <cell r="J338">
            <v>46034</v>
          </cell>
          <cell r="K338">
            <v>0.6452</v>
          </cell>
          <cell r="L338">
            <v>0.63090000000000002</v>
          </cell>
          <cell r="M338">
            <v>0.65339999999999998</v>
          </cell>
          <cell r="N338">
            <v>38</v>
          </cell>
          <cell r="O338">
            <v>47</v>
          </cell>
          <cell r="P338">
            <v>30</v>
          </cell>
          <cell r="Q338">
            <v>108</v>
          </cell>
          <cell r="R338">
            <v>223</v>
          </cell>
          <cell r="S338">
            <v>1</v>
          </cell>
          <cell r="T338">
            <v>1</v>
          </cell>
          <cell r="U338">
            <v>7</v>
          </cell>
          <cell r="V338">
            <v>1</v>
          </cell>
          <cell r="W338">
            <v>10</v>
          </cell>
        </row>
        <row r="339">
          <cell r="A339">
            <v>45992</v>
          </cell>
          <cell r="B339">
            <v>10020</v>
          </cell>
          <cell r="C339" t="str">
            <v>Sim</v>
          </cell>
          <cell r="D339" t="str">
            <v>509651.60 A 1019303.19</v>
          </cell>
          <cell r="E339">
            <v>1000</v>
          </cell>
          <cell r="F339">
            <v>200</v>
          </cell>
          <cell r="G339">
            <v>160</v>
          </cell>
          <cell r="H339">
            <v>44832</v>
          </cell>
          <cell r="I339">
            <v>46037</v>
          </cell>
          <cell r="J339">
            <v>46034</v>
          </cell>
          <cell r="K339">
            <v>0.76229999999999998</v>
          </cell>
          <cell r="L339">
            <v>0.76</v>
          </cell>
          <cell r="M339">
            <v>0.78110000000000002</v>
          </cell>
          <cell r="N339">
            <v>40</v>
          </cell>
          <cell r="O339">
            <v>36</v>
          </cell>
          <cell r="P339">
            <v>34</v>
          </cell>
          <cell r="Q339">
            <v>154</v>
          </cell>
          <cell r="R339">
            <v>264</v>
          </cell>
          <cell r="S339">
            <v>1</v>
          </cell>
          <cell r="T339">
            <v>1</v>
          </cell>
          <cell r="U339">
            <v>12</v>
          </cell>
          <cell r="V339">
            <v>1</v>
          </cell>
          <cell r="W339">
            <v>15</v>
          </cell>
        </row>
        <row r="340">
          <cell r="A340">
            <v>45992</v>
          </cell>
          <cell r="B340">
            <v>10021</v>
          </cell>
          <cell r="C340" t="str">
            <v>Sim</v>
          </cell>
          <cell r="D340" t="str">
            <v>113255.91 A 226511.82</v>
          </cell>
          <cell r="E340">
            <v>2500</v>
          </cell>
          <cell r="F340">
            <v>200</v>
          </cell>
          <cell r="G340">
            <v>160</v>
          </cell>
          <cell r="H340">
            <v>44832</v>
          </cell>
          <cell r="I340">
            <v>46037</v>
          </cell>
          <cell r="J340">
            <v>46034</v>
          </cell>
          <cell r="K340">
            <v>0.72509999999999997</v>
          </cell>
          <cell r="L340">
            <v>0.70209999999999995</v>
          </cell>
          <cell r="M340">
            <v>0.8</v>
          </cell>
          <cell r="N340">
            <v>39</v>
          </cell>
          <cell r="O340">
            <v>50</v>
          </cell>
          <cell r="P340">
            <v>37</v>
          </cell>
          <cell r="Q340">
            <v>526</v>
          </cell>
          <cell r="R340">
            <v>652</v>
          </cell>
          <cell r="S340">
            <v>1</v>
          </cell>
          <cell r="T340">
            <v>1</v>
          </cell>
          <cell r="U340">
            <v>25</v>
          </cell>
          <cell r="V340">
            <v>1</v>
          </cell>
          <cell r="W340">
            <v>28</v>
          </cell>
        </row>
        <row r="341">
          <cell r="A341">
            <v>45992</v>
          </cell>
          <cell r="B341">
            <v>10023</v>
          </cell>
          <cell r="C341" t="str">
            <v>Sim</v>
          </cell>
          <cell r="D341" t="str">
            <v>249163.01 A 453023.64</v>
          </cell>
          <cell r="E341">
            <v>2500</v>
          </cell>
          <cell r="F341">
            <v>200</v>
          </cell>
          <cell r="G341">
            <v>160</v>
          </cell>
          <cell r="H341">
            <v>44832</v>
          </cell>
          <cell r="I341">
            <v>46037</v>
          </cell>
          <cell r="J341">
            <v>46034</v>
          </cell>
          <cell r="K341">
            <v>0.73970000000000002</v>
          </cell>
          <cell r="L341">
            <v>0.71020000000000005</v>
          </cell>
          <cell r="M341">
            <v>0.8</v>
          </cell>
          <cell r="N341">
            <v>39</v>
          </cell>
          <cell r="O341">
            <v>39</v>
          </cell>
          <cell r="P341">
            <v>39</v>
          </cell>
          <cell r="Q341">
            <v>560</v>
          </cell>
          <cell r="R341">
            <v>677</v>
          </cell>
          <cell r="S341">
            <v>1</v>
          </cell>
          <cell r="T341">
            <v>1</v>
          </cell>
          <cell r="U341">
            <v>32</v>
          </cell>
          <cell r="V341">
            <v>1</v>
          </cell>
          <cell r="W341">
            <v>35</v>
          </cell>
        </row>
        <row r="342">
          <cell r="A342">
            <v>45992</v>
          </cell>
          <cell r="B342">
            <v>10024</v>
          </cell>
          <cell r="C342" t="str">
            <v>Sim</v>
          </cell>
          <cell r="D342" t="str">
            <v>108878.64 A 217757.28</v>
          </cell>
          <cell r="E342">
            <v>2500</v>
          </cell>
          <cell r="F342">
            <v>200</v>
          </cell>
          <cell r="G342">
            <v>164</v>
          </cell>
          <cell r="H342">
            <v>44942</v>
          </cell>
          <cell r="I342">
            <v>46037</v>
          </cell>
          <cell r="J342">
            <v>46034</v>
          </cell>
          <cell r="K342">
            <v>0.73209999999999997</v>
          </cell>
          <cell r="L342">
            <v>0.71140000000000003</v>
          </cell>
          <cell r="M342">
            <v>0.82</v>
          </cell>
          <cell r="N342">
            <v>35</v>
          </cell>
          <cell r="O342">
            <v>37</v>
          </cell>
          <cell r="P342">
            <v>34</v>
          </cell>
          <cell r="Q342">
            <v>408</v>
          </cell>
          <cell r="R342">
            <v>514</v>
          </cell>
          <cell r="S342">
            <v>1</v>
          </cell>
          <cell r="T342">
            <v>1</v>
          </cell>
          <cell r="U342">
            <v>22</v>
          </cell>
          <cell r="V342">
            <v>1</v>
          </cell>
          <cell r="W342">
            <v>25</v>
          </cell>
        </row>
        <row r="343">
          <cell r="A343">
            <v>45992</v>
          </cell>
          <cell r="B343">
            <v>10025</v>
          </cell>
          <cell r="C343" t="str">
            <v>Sim</v>
          </cell>
          <cell r="D343" t="str">
            <v>108721.27 A 217442.55</v>
          </cell>
          <cell r="E343">
            <v>2500</v>
          </cell>
          <cell r="F343">
            <v>200</v>
          </cell>
          <cell r="G343">
            <v>169</v>
          </cell>
          <cell r="H343">
            <v>45100</v>
          </cell>
          <cell r="I343">
            <v>46037</v>
          </cell>
          <cell r="J343">
            <v>46034</v>
          </cell>
          <cell r="K343">
            <v>0.79930000000000001</v>
          </cell>
          <cell r="L343">
            <v>0.75009999999999999</v>
          </cell>
          <cell r="M343">
            <v>0.84499999999999997</v>
          </cell>
          <cell r="N343">
            <v>31</v>
          </cell>
          <cell r="O343">
            <v>32</v>
          </cell>
          <cell r="P343">
            <v>31</v>
          </cell>
          <cell r="Q343">
            <v>391</v>
          </cell>
          <cell r="R343">
            <v>485</v>
          </cell>
          <cell r="S343">
            <v>1</v>
          </cell>
          <cell r="T343">
            <v>1</v>
          </cell>
          <cell r="U343">
            <v>29</v>
          </cell>
          <cell r="V343">
            <v>1</v>
          </cell>
          <cell r="W343">
            <v>32</v>
          </cell>
        </row>
        <row r="344">
          <cell r="A344">
            <v>45992</v>
          </cell>
          <cell r="B344">
            <v>10026</v>
          </cell>
          <cell r="C344" t="str">
            <v>Não</v>
          </cell>
          <cell r="D344" t="str">
            <v>249412.85 A 453477.91</v>
          </cell>
          <cell r="E344">
            <v>2500</v>
          </cell>
          <cell r="F344">
            <v>200</v>
          </cell>
          <cell r="G344">
            <v>161</v>
          </cell>
          <cell r="H344">
            <v>44858</v>
          </cell>
          <cell r="I344">
            <v>46037</v>
          </cell>
          <cell r="J344">
            <v>46034</v>
          </cell>
          <cell r="K344">
            <v>0.72370000000000001</v>
          </cell>
          <cell r="L344">
            <v>0.7</v>
          </cell>
          <cell r="M344">
            <v>0.80500000000000005</v>
          </cell>
          <cell r="N344">
            <v>39</v>
          </cell>
          <cell r="O344">
            <v>39</v>
          </cell>
          <cell r="P344">
            <v>32</v>
          </cell>
          <cell r="Q344">
            <v>315</v>
          </cell>
          <cell r="R344">
            <v>425</v>
          </cell>
          <cell r="S344">
            <v>1</v>
          </cell>
          <cell r="T344">
            <v>1</v>
          </cell>
          <cell r="U344">
            <v>24</v>
          </cell>
          <cell r="V344">
            <v>1</v>
          </cell>
          <cell r="W344">
            <v>27</v>
          </cell>
        </row>
        <row r="345">
          <cell r="A345">
            <v>45992</v>
          </cell>
          <cell r="B345">
            <v>10027</v>
          </cell>
          <cell r="C345" t="str">
            <v>Sim</v>
          </cell>
          <cell r="D345" t="str">
            <v>514462.26 A 1028924.52</v>
          </cell>
          <cell r="E345">
            <v>2500</v>
          </cell>
          <cell r="F345">
            <v>200</v>
          </cell>
          <cell r="G345">
            <v>162</v>
          </cell>
          <cell r="H345">
            <v>44889</v>
          </cell>
          <cell r="I345">
            <v>46037</v>
          </cell>
          <cell r="J345">
            <v>46034</v>
          </cell>
          <cell r="K345">
            <v>0.77659999999999996</v>
          </cell>
          <cell r="L345">
            <v>0.77500000000000002</v>
          </cell>
          <cell r="M345">
            <v>0.81</v>
          </cell>
          <cell r="N345">
            <v>36</v>
          </cell>
          <cell r="O345">
            <v>39</v>
          </cell>
          <cell r="P345">
            <v>36</v>
          </cell>
          <cell r="Q345">
            <v>559</v>
          </cell>
          <cell r="R345">
            <v>670</v>
          </cell>
          <cell r="S345">
            <v>1</v>
          </cell>
          <cell r="T345">
            <v>1</v>
          </cell>
          <cell r="U345">
            <v>32</v>
          </cell>
          <cell r="V345">
            <v>1</v>
          </cell>
          <cell r="W345">
            <v>35</v>
          </cell>
        </row>
        <row r="346">
          <cell r="A346">
            <v>45992</v>
          </cell>
          <cell r="B346">
            <v>10028</v>
          </cell>
          <cell r="C346" t="str">
            <v>Não</v>
          </cell>
          <cell r="D346" t="str">
            <v>108651.54 A 217303.08</v>
          </cell>
          <cell r="E346">
            <v>2500</v>
          </cell>
          <cell r="F346">
            <v>200</v>
          </cell>
          <cell r="G346">
            <v>165</v>
          </cell>
          <cell r="H346">
            <v>44973</v>
          </cell>
          <cell r="I346">
            <v>46037</v>
          </cell>
          <cell r="J346">
            <v>46034</v>
          </cell>
          <cell r="K346">
            <v>0.71350000000000002</v>
          </cell>
          <cell r="L346">
            <v>0.70009999999999994</v>
          </cell>
          <cell r="M346">
            <v>0.74139999999999995</v>
          </cell>
          <cell r="N346">
            <v>30</v>
          </cell>
          <cell r="O346">
            <v>38</v>
          </cell>
          <cell r="P346">
            <v>32</v>
          </cell>
          <cell r="Q346">
            <v>320</v>
          </cell>
          <cell r="R346">
            <v>420</v>
          </cell>
          <cell r="S346">
            <v>1</v>
          </cell>
          <cell r="T346">
            <v>1</v>
          </cell>
          <cell r="U346">
            <v>19</v>
          </cell>
          <cell r="V346">
            <v>1</v>
          </cell>
          <cell r="W346">
            <v>22</v>
          </cell>
        </row>
        <row r="347">
          <cell r="A347">
            <v>45992</v>
          </cell>
          <cell r="B347">
            <v>10029</v>
          </cell>
          <cell r="C347" t="str">
            <v>Não</v>
          </cell>
          <cell r="D347" t="str">
            <v>54458.06 A 98024.52</v>
          </cell>
          <cell r="E347">
            <v>2500</v>
          </cell>
          <cell r="F347">
            <v>200</v>
          </cell>
          <cell r="G347">
            <v>167</v>
          </cell>
          <cell r="H347">
            <v>45034</v>
          </cell>
          <cell r="I347">
            <v>46037</v>
          </cell>
          <cell r="J347">
            <v>46034</v>
          </cell>
          <cell r="K347">
            <v>0.57840000000000003</v>
          </cell>
          <cell r="L347">
            <v>0.52110000000000001</v>
          </cell>
          <cell r="M347">
            <v>0.64029999999999998</v>
          </cell>
          <cell r="N347">
            <v>30</v>
          </cell>
          <cell r="O347">
            <v>33</v>
          </cell>
          <cell r="P347">
            <v>25</v>
          </cell>
          <cell r="Q347">
            <v>182</v>
          </cell>
          <cell r="R347">
            <v>270</v>
          </cell>
          <cell r="S347">
            <v>1</v>
          </cell>
          <cell r="T347">
            <v>1</v>
          </cell>
          <cell r="U347">
            <v>21</v>
          </cell>
          <cell r="V347">
            <v>1</v>
          </cell>
          <cell r="W347">
            <v>24</v>
          </cell>
        </row>
        <row r="348">
          <cell r="A348">
            <v>45992</v>
          </cell>
          <cell r="B348">
            <v>10030</v>
          </cell>
          <cell r="C348" t="str">
            <v>Sim</v>
          </cell>
          <cell r="D348" t="str">
            <v>239186.80 A 434885.09</v>
          </cell>
          <cell r="E348">
            <v>2500</v>
          </cell>
          <cell r="F348">
            <v>200</v>
          </cell>
          <cell r="G348">
            <v>169</v>
          </cell>
          <cell r="H348">
            <v>45100</v>
          </cell>
          <cell r="I348">
            <v>46037</v>
          </cell>
          <cell r="J348">
            <v>46034</v>
          </cell>
          <cell r="K348">
            <v>0.76829999999999998</v>
          </cell>
          <cell r="L348">
            <v>0.752</v>
          </cell>
          <cell r="M348">
            <v>0.80100000000000005</v>
          </cell>
          <cell r="N348">
            <v>30</v>
          </cell>
          <cell r="O348">
            <v>31</v>
          </cell>
          <cell r="P348">
            <v>30</v>
          </cell>
          <cell r="Q348">
            <v>376</v>
          </cell>
          <cell r="R348">
            <v>467</v>
          </cell>
          <cell r="S348">
            <v>1</v>
          </cell>
          <cell r="T348">
            <v>1</v>
          </cell>
          <cell r="U348">
            <v>37</v>
          </cell>
          <cell r="V348">
            <v>1</v>
          </cell>
          <cell r="W348">
            <v>40</v>
          </cell>
        </row>
        <row r="349">
          <cell r="A349">
            <v>45992</v>
          </cell>
          <cell r="B349">
            <v>10031</v>
          </cell>
          <cell r="C349" t="str">
            <v>Sim</v>
          </cell>
          <cell r="D349" t="str">
            <v>489197.24 A 978394.48</v>
          </cell>
          <cell r="E349">
            <v>2500</v>
          </cell>
          <cell r="F349">
            <v>200</v>
          </cell>
          <cell r="G349">
            <v>170</v>
          </cell>
          <cell r="H349">
            <v>45125</v>
          </cell>
          <cell r="I349">
            <v>46037</v>
          </cell>
          <cell r="J349">
            <v>46034</v>
          </cell>
          <cell r="K349">
            <v>0.78490000000000004</v>
          </cell>
          <cell r="L349">
            <v>0.72</v>
          </cell>
          <cell r="M349">
            <v>0.82599999999999996</v>
          </cell>
          <cell r="N349">
            <v>30</v>
          </cell>
          <cell r="O349">
            <v>29</v>
          </cell>
          <cell r="P349">
            <v>29</v>
          </cell>
          <cell r="Q349">
            <v>418</v>
          </cell>
          <cell r="R349">
            <v>506</v>
          </cell>
          <cell r="S349">
            <v>1</v>
          </cell>
          <cell r="T349">
            <v>1</v>
          </cell>
          <cell r="U349">
            <v>45</v>
          </cell>
          <cell r="V349">
            <v>1</v>
          </cell>
          <cell r="W349">
            <v>48</v>
          </cell>
        </row>
        <row r="350">
          <cell r="A350">
            <v>45992</v>
          </cell>
          <cell r="B350">
            <v>10032</v>
          </cell>
          <cell r="C350" t="str">
            <v>Não</v>
          </cell>
          <cell r="D350" t="str">
            <v>54698.52 A 98457.34</v>
          </cell>
          <cell r="E350">
            <v>2500</v>
          </cell>
          <cell r="F350">
            <v>240</v>
          </cell>
          <cell r="G350">
            <v>212</v>
          </cell>
          <cell r="H350">
            <v>45197</v>
          </cell>
          <cell r="I350">
            <v>46037</v>
          </cell>
          <cell r="J350">
            <v>46034</v>
          </cell>
          <cell r="K350">
            <v>0.50560000000000005</v>
          </cell>
          <cell r="L350">
            <v>0.443</v>
          </cell>
          <cell r="M350">
            <v>0.59519999999999995</v>
          </cell>
          <cell r="N350">
            <v>26</v>
          </cell>
          <cell r="O350">
            <v>30</v>
          </cell>
          <cell r="P350">
            <v>18</v>
          </cell>
          <cell r="Q350">
            <v>122</v>
          </cell>
          <cell r="R350">
            <v>196</v>
          </cell>
          <cell r="S350">
            <v>1</v>
          </cell>
          <cell r="T350">
            <v>1</v>
          </cell>
          <cell r="U350">
            <v>14</v>
          </cell>
          <cell r="V350">
            <v>1</v>
          </cell>
          <cell r="W350">
            <v>17</v>
          </cell>
        </row>
        <row r="351">
          <cell r="A351">
            <v>45992</v>
          </cell>
          <cell r="B351">
            <v>10033</v>
          </cell>
          <cell r="C351" t="str">
            <v>Não</v>
          </cell>
          <cell r="D351" t="str">
            <v>109397.04 A 218794.08</v>
          </cell>
          <cell r="E351">
            <v>2500</v>
          </cell>
          <cell r="F351">
            <v>240</v>
          </cell>
          <cell r="G351">
            <v>212</v>
          </cell>
          <cell r="H351">
            <v>45188</v>
          </cell>
          <cell r="I351">
            <v>46037</v>
          </cell>
          <cell r="J351">
            <v>46034</v>
          </cell>
          <cell r="K351">
            <v>0.5585</v>
          </cell>
          <cell r="L351">
            <v>0.53</v>
          </cell>
          <cell r="M351">
            <v>0.7</v>
          </cell>
          <cell r="N351">
            <v>27</v>
          </cell>
          <cell r="O351">
            <v>28</v>
          </cell>
          <cell r="P351">
            <v>25</v>
          </cell>
          <cell r="Q351">
            <v>168</v>
          </cell>
          <cell r="R351">
            <v>248</v>
          </cell>
          <cell r="S351">
            <v>1</v>
          </cell>
          <cell r="T351">
            <v>1</v>
          </cell>
          <cell r="U351">
            <v>17</v>
          </cell>
          <cell r="V351">
            <v>1</v>
          </cell>
          <cell r="W351">
            <v>20</v>
          </cell>
        </row>
        <row r="352">
          <cell r="A352">
            <v>45992</v>
          </cell>
          <cell r="B352">
            <v>10034</v>
          </cell>
          <cell r="C352" t="str">
            <v>Sim</v>
          </cell>
          <cell r="D352" t="str">
            <v>109397.04 A 218794.08</v>
          </cell>
          <cell r="E352">
            <v>2500</v>
          </cell>
          <cell r="F352">
            <v>200</v>
          </cell>
          <cell r="G352">
            <v>172</v>
          </cell>
          <cell r="H352">
            <v>45188</v>
          </cell>
          <cell r="I352">
            <v>46037</v>
          </cell>
          <cell r="J352">
            <v>46034</v>
          </cell>
          <cell r="K352">
            <v>0.77739999999999998</v>
          </cell>
          <cell r="L352">
            <v>0.77500000000000002</v>
          </cell>
          <cell r="M352">
            <v>0.86</v>
          </cell>
          <cell r="N352">
            <v>28</v>
          </cell>
          <cell r="O352">
            <v>28</v>
          </cell>
          <cell r="P352">
            <v>27</v>
          </cell>
          <cell r="Q352">
            <v>303</v>
          </cell>
          <cell r="R352">
            <v>386</v>
          </cell>
          <cell r="S352">
            <v>1</v>
          </cell>
          <cell r="T352">
            <v>1</v>
          </cell>
          <cell r="U352">
            <v>19</v>
          </cell>
          <cell r="V352">
            <v>1</v>
          </cell>
          <cell r="W352">
            <v>22</v>
          </cell>
        </row>
        <row r="353">
          <cell r="A353">
            <v>45992</v>
          </cell>
          <cell r="B353">
            <v>10035</v>
          </cell>
          <cell r="C353" t="str">
            <v>Sim</v>
          </cell>
          <cell r="D353" t="str">
            <v>491837.72 A 983675.44</v>
          </cell>
          <cell r="E353">
            <v>2500</v>
          </cell>
          <cell r="F353">
            <v>200</v>
          </cell>
          <cell r="G353">
            <v>175</v>
          </cell>
          <cell r="H353">
            <v>45286</v>
          </cell>
          <cell r="I353">
            <v>46037</v>
          </cell>
          <cell r="J353">
            <v>46034</v>
          </cell>
          <cell r="K353">
            <v>0.80220000000000002</v>
          </cell>
          <cell r="L353">
            <v>0.752</v>
          </cell>
          <cell r="M353">
            <v>0.87</v>
          </cell>
          <cell r="N353">
            <v>25</v>
          </cell>
          <cell r="O353">
            <v>23</v>
          </cell>
          <cell r="P353">
            <v>23</v>
          </cell>
          <cell r="Q353">
            <v>279</v>
          </cell>
          <cell r="R353">
            <v>350</v>
          </cell>
          <cell r="S353">
            <v>1</v>
          </cell>
          <cell r="T353">
            <v>1</v>
          </cell>
          <cell r="U353">
            <v>33</v>
          </cell>
          <cell r="V353">
            <v>1</v>
          </cell>
          <cell r="W353">
            <v>36</v>
          </cell>
        </row>
        <row r="354">
          <cell r="A354">
            <v>45992</v>
          </cell>
          <cell r="B354">
            <v>10036</v>
          </cell>
          <cell r="C354" t="str">
            <v>Sim</v>
          </cell>
          <cell r="D354" t="str">
            <v>229183.02 A 416696.40</v>
          </cell>
          <cell r="E354">
            <v>2500</v>
          </cell>
          <cell r="F354">
            <v>200</v>
          </cell>
          <cell r="G354">
            <v>178</v>
          </cell>
          <cell r="H354">
            <v>45369</v>
          </cell>
          <cell r="I354">
            <v>46037</v>
          </cell>
          <cell r="J354">
            <v>46034</v>
          </cell>
          <cell r="K354">
            <v>0.84489999999999998</v>
          </cell>
          <cell r="L354">
            <v>0.83</v>
          </cell>
          <cell r="M354">
            <v>0.87270000000000003</v>
          </cell>
          <cell r="N354">
            <v>22</v>
          </cell>
          <cell r="O354">
            <v>23</v>
          </cell>
          <cell r="P354">
            <v>22</v>
          </cell>
          <cell r="Q354">
            <v>205</v>
          </cell>
          <cell r="R354">
            <v>272</v>
          </cell>
          <cell r="S354">
            <v>1</v>
          </cell>
          <cell r="T354">
            <v>1</v>
          </cell>
          <cell r="U354">
            <v>27</v>
          </cell>
          <cell r="V354">
            <v>1</v>
          </cell>
          <cell r="W354">
            <v>30</v>
          </cell>
        </row>
        <row r="355">
          <cell r="A355">
            <v>45992</v>
          </cell>
          <cell r="B355">
            <v>10037</v>
          </cell>
          <cell r="C355" t="str">
            <v>Sim</v>
          </cell>
          <cell r="D355" t="str">
            <v>104866.50 A 209733.00</v>
          </cell>
          <cell r="E355">
            <v>2500</v>
          </cell>
          <cell r="F355">
            <v>200</v>
          </cell>
          <cell r="G355">
            <v>179</v>
          </cell>
          <cell r="H355">
            <v>45398</v>
          </cell>
          <cell r="I355">
            <v>46037</v>
          </cell>
          <cell r="J355">
            <v>46034</v>
          </cell>
          <cell r="K355">
            <v>0.81930000000000003</v>
          </cell>
          <cell r="L355">
            <v>0.81</v>
          </cell>
          <cell r="M355">
            <v>0.89500000000000002</v>
          </cell>
          <cell r="N355">
            <v>20</v>
          </cell>
          <cell r="O355">
            <v>22</v>
          </cell>
          <cell r="P355">
            <v>21</v>
          </cell>
          <cell r="Q355">
            <v>189</v>
          </cell>
          <cell r="R355">
            <v>252</v>
          </cell>
          <cell r="S355">
            <v>1</v>
          </cell>
          <cell r="T355">
            <v>1</v>
          </cell>
          <cell r="U355">
            <v>15</v>
          </cell>
          <cell r="V355">
            <v>1</v>
          </cell>
          <cell r="W355">
            <v>18</v>
          </cell>
        </row>
        <row r="356">
          <cell r="A356">
            <v>45992</v>
          </cell>
          <cell r="B356">
            <v>10038</v>
          </cell>
          <cell r="C356" t="str">
            <v>Não</v>
          </cell>
          <cell r="D356" t="str">
            <v>105316.70 A 210633.40</v>
          </cell>
          <cell r="E356">
            <v>2500</v>
          </cell>
          <cell r="F356">
            <v>200</v>
          </cell>
          <cell r="G356">
            <v>181</v>
          </cell>
          <cell r="H356">
            <v>45460</v>
          </cell>
          <cell r="I356">
            <v>46037</v>
          </cell>
          <cell r="J356">
            <v>46034</v>
          </cell>
          <cell r="K356">
            <v>0.66539999999999999</v>
          </cell>
          <cell r="L356">
            <v>0.67369999999999997</v>
          </cell>
          <cell r="M356">
            <v>0.71209999999999996</v>
          </cell>
          <cell r="N356">
            <v>19</v>
          </cell>
          <cell r="O356">
            <v>18</v>
          </cell>
          <cell r="P356">
            <v>17</v>
          </cell>
          <cell r="Q356">
            <v>72</v>
          </cell>
          <cell r="R356">
            <v>126</v>
          </cell>
          <cell r="S356">
            <v>1</v>
          </cell>
          <cell r="T356">
            <v>1</v>
          </cell>
          <cell r="U356">
            <v>17</v>
          </cell>
          <cell r="V356">
            <v>1</v>
          </cell>
          <cell r="W356">
            <v>20</v>
          </cell>
        </row>
        <row r="357">
          <cell r="A357">
            <v>45992</v>
          </cell>
          <cell r="B357">
            <v>10039</v>
          </cell>
          <cell r="C357" t="str">
            <v>Sim</v>
          </cell>
          <cell r="D357" t="str">
            <v>105180.43 A 210360.86</v>
          </cell>
          <cell r="E357">
            <v>2500</v>
          </cell>
          <cell r="F357">
            <v>200</v>
          </cell>
          <cell r="G357">
            <v>183</v>
          </cell>
          <cell r="H357">
            <v>45525</v>
          </cell>
          <cell r="I357">
            <v>46037</v>
          </cell>
          <cell r="J357">
            <v>46034</v>
          </cell>
          <cell r="K357">
            <v>0.7883</v>
          </cell>
          <cell r="L357">
            <v>0.8</v>
          </cell>
          <cell r="M357">
            <v>0.83</v>
          </cell>
          <cell r="N357">
            <v>17</v>
          </cell>
          <cell r="O357">
            <v>17</v>
          </cell>
          <cell r="P357">
            <v>16</v>
          </cell>
          <cell r="Q357">
            <v>149</v>
          </cell>
          <cell r="R357">
            <v>199</v>
          </cell>
          <cell r="S357">
            <v>1</v>
          </cell>
          <cell r="T357">
            <v>1</v>
          </cell>
          <cell r="U357">
            <v>21</v>
          </cell>
          <cell r="V357">
            <v>1</v>
          </cell>
          <cell r="W357">
            <v>24</v>
          </cell>
        </row>
        <row r="358">
          <cell r="A358">
            <v>45992</v>
          </cell>
          <cell r="B358">
            <v>10040</v>
          </cell>
          <cell r="C358" t="str">
            <v>Sim</v>
          </cell>
          <cell r="D358" t="str">
            <v>473075.55 A 946151.10</v>
          </cell>
          <cell r="E358">
            <v>2500</v>
          </cell>
          <cell r="F358">
            <v>200</v>
          </cell>
          <cell r="G358">
            <v>184</v>
          </cell>
          <cell r="H358">
            <v>45551</v>
          </cell>
          <cell r="I358">
            <v>46037</v>
          </cell>
          <cell r="J358">
            <v>46034</v>
          </cell>
          <cell r="K358">
            <v>0.78510000000000002</v>
          </cell>
          <cell r="L358">
            <v>0.75</v>
          </cell>
          <cell r="M358">
            <v>0.82099999999999995</v>
          </cell>
          <cell r="N358">
            <v>16</v>
          </cell>
          <cell r="O358">
            <v>16</v>
          </cell>
          <cell r="P358">
            <v>16</v>
          </cell>
          <cell r="Q358">
            <v>125</v>
          </cell>
          <cell r="R358">
            <v>173</v>
          </cell>
          <cell r="S358">
            <v>1</v>
          </cell>
          <cell r="T358">
            <v>1</v>
          </cell>
          <cell r="U358">
            <v>29</v>
          </cell>
          <cell r="V358">
            <v>1</v>
          </cell>
          <cell r="W358">
            <v>32</v>
          </cell>
        </row>
        <row r="359">
          <cell r="A359">
            <v>45992</v>
          </cell>
          <cell r="B359">
            <v>10041</v>
          </cell>
          <cell r="C359" t="str">
            <v>Sim</v>
          </cell>
          <cell r="D359" t="str">
            <v>231119.24 A 420216.80</v>
          </cell>
          <cell r="E359">
            <v>2500</v>
          </cell>
          <cell r="F359">
            <v>200</v>
          </cell>
          <cell r="G359">
            <v>185</v>
          </cell>
          <cell r="H359">
            <v>45581</v>
          </cell>
          <cell r="I359">
            <v>46037</v>
          </cell>
          <cell r="J359">
            <v>46034</v>
          </cell>
          <cell r="K359">
            <v>0.81100000000000005</v>
          </cell>
          <cell r="L359">
            <v>0.80769999999999997</v>
          </cell>
          <cell r="M359">
            <v>0.92500000000000004</v>
          </cell>
          <cell r="N359">
            <v>15</v>
          </cell>
          <cell r="O359">
            <v>14</v>
          </cell>
          <cell r="P359">
            <v>11</v>
          </cell>
          <cell r="Q359">
            <v>60</v>
          </cell>
          <cell r="R359">
            <v>100</v>
          </cell>
          <cell r="S359">
            <v>1</v>
          </cell>
          <cell r="T359">
            <v>1</v>
          </cell>
          <cell r="U359">
            <v>13</v>
          </cell>
          <cell r="V359">
            <v>1</v>
          </cell>
          <cell r="W359">
            <v>16</v>
          </cell>
        </row>
        <row r="360">
          <cell r="A360">
            <v>45992</v>
          </cell>
          <cell r="B360">
            <v>10042</v>
          </cell>
          <cell r="C360" t="str">
            <v>Não</v>
          </cell>
          <cell r="D360" t="str">
            <v>104490.20 A 208980.40</v>
          </cell>
          <cell r="E360">
            <v>2500</v>
          </cell>
          <cell r="F360">
            <v>240</v>
          </cell>
          <cell r="G360">
            <v>227</v>
          </cell>
          <cell r="H360">
            <v>45642</v>
          </cell>
          <cell r="I360">
            <v>46037</v>
          </cell>
          <cell r="J360">
            <v>46034</v>
          </cell>
          <cell r="K360">
            <v>0.70199999999999996</v>
          </cell>
          <cell r="L360">
            <v>0.56459999999999999</v>
          </cell>
          <cell r="M360">
            <v>0.78069999999999995</v>
          </cell>
          <cell r="N360">
            <v>12</v>
          </cell>
          <cell r="O360">
            <v>13</v>
          </cell>
          <cell r="P360">
            <v>12</v>
          </cell>
          <cell r="Q360">
            <v>99</v>
          </cell>
          <cell r="R360">
            <v>136</v>
          </cell>
          <cell r="S360">
            <v>1</v>
          </cell>
          <cell r="T360">
            <v>1</v>
          </cell>
          <cell r="U360">
            <v>19</v>
          </cell>
          <cell r="V360">
            <v>1</v>
          </cell>
          <cell r="W360">
            <v>22</v>
          </cell>
        </row>
        <row r="361">
          <cell r="A361">
            <v>45992</v>
          </cell>
          <cell r="B361">
            <v>10043</v>
          </cell>
          <cell r="C361" t="str">
            <v>Não</v>
          </cell>
          <cell r="D361" t="str">
            <v>47020.59 A 94041.18</v>
          </cell>
          <cell r="E361">
            <v>2500</v>
          </cell>
          <cell r="F361">
            <v>200</v>
          </cell>
          <cell r="G361">
            <v>187</v>
          </cell>
          <cell r="H361">
            <v>45642</v>
          </cell>
          <cell r="I361">
            <v>46037</v>
          </cell>
          <cell r="J361">
            <v>46034</v>
          </cell>
          <cell r="K361">
            <v>0.64680000000000004</v>
          </cell>
          <cell r="L361">
            <v>0.63200000000000001</v>
          </cell>
          <cell r="M361">
            <v>0.73729999999999996</v>
          </cell>
          <cell r="N361">
            <v>13</v>
          </cell>
          <cell r="O361">
            <v>12</v>
          </cell>
          <cell r="P361">
            <v>11</v>
          </cell>
          <cell r="Q361">
            <v>45</v>
          </cell>
          <cell r="R361">
            <v>81</v>
          </cell>
          <cell r="S361">
            <v>1</v>
          </cell>
          <cell r="T361">
            <v>1</v>
          </cell>
          <cell r="U361">
            <v>8</v>
          </cell>
          <cell r="V361">
            <v>1</v>
          </cell>
          <cell r="W361">
            <v>11</v>
          </cell>
        </row>
        <row r="362">
          <cell r="A362">
            <v>45992</v>
          </cell>
          <cell r="B362">
            <v>10044</v>
          </cell>
          <cell r="C362" t="str">
            <v>Não</v>
          </cell>
          <cell r="D362" t="str">
            <v>104490.20 A 208980.40</v>
          </cell>
          <cell r="E362">
            <v>2500</v>
          </cell>
          <cell r="F362">
            <v>200</v>
          </cell>
          <cell r="G362">
            <v>187</v>
          </cell>
          <cell r="H362">
            <v>45642</v>
          </cell>
          <cell r="I362">
            <v>46037</v>
          </cell>
          <cell r="J362">
            <v>46034</v>
          </cell>
          <cell r="K362">
            <v>0.72770000000000001</v>
          </cell>
          <cell r="L362">
            <v>0.68</v>
          </cell>
          <cell r="M362">
            <v>0.73619999999999997</v>
          </cell>
          <cell r="N362">
            <v>13</v>
          </cell>
          <cell r="O362">
            <v>11</v>
          </cell>
          <cell r="P362">
            <v>13</v>
          </cell>
          <cell r="Q362">
            <v>39</v>
          </cell>
          <cell r="R362">
            <v>76</v>
          </cell>
          <cell r="S362">
            <v>1</v>
          </cell>
          <cell r="T362">
            <v>1</v>
          </cell>
          <cell r="U362">
            <v>9</v>
          </cell>
          <cell r="V362">
            <v>1</v>
          </cell>
          <cell r="W362">
            <v>12</v>
          </cell>
        </row>
        <row r="363">
          <cell r="A363">
            <v>45992</v>
          </cell>
          <cell r="B363">
            <v>10045</v>
          </cell>
          <cell r="C363" t="str">
            <v>Não</v>
          </cell>
          <cell r="D363" t="str">
            <v>208980.40 A 417960.80</v>
          </cell>
          <cell r="E363">
            <v>2500</v>
          </cell>
          <cell r="F363">
            <v>200</v>
          </cell>
          <cell r="G363">
            <v>187</v>
          </cell>
          <cell r="H363">
            <v>45642</v>
          </cell>
          <cell r="I363">
            <v>46037</v>
          </cell>
          <cell r="J363">
            <v>46034</v>
          </cell>
          <cell r="K363">
            <v>0.71020000000000005</v>
          </cell>
          <cell r="L363">
            <v>0.65</v>
          </cell>
          <cell r="M363">
            <v>0.75</v>
          </cell>
          <cell r="N363">
            <v>13</v>
          </cell>
          <cell r="O363">
            <v>12</v>
          </cell>
          <cell r="P363">
            <v>10</v>
          </cell>
          <cell r="Q363">
            <v>31</v>
          </cell>
          <cell r="R363">
            <v>66</v>
          </cell>
          <cell r="S363">
            <v>1</v>
          </cell>
          <cell r="T363">
            <v>1</v>
          </cell>
          <cell r="U363">
            <v>7</v>
          </cell>
          <cell r="V363">
            <v>1</v>
          </cell>
          <cell r="W363">
            <v>10</v>
          </cell>
        </row>
        <row r="364">
          <cell r="A364">
            <v>45992</v>
          </cell>
          <cell r="B364">
            <v>10046</v>
          </cell>
          <cell r="C364" t="str">
            <v>Sim</v>
          </cell>
          <cell r="D364" t="str">
            <v>104490.20 A 208980.40</v>
          </cell>
          <cell r="E364">
            <v>2500</v>
          </cell>
          <cell r="F364">
            <v>200</v>
          </cell>
          <cell r="G364">
            <v>187</v>
          </cell>
          <cell r="H364">
            <v>45642</v>
          </cell>
          <cell r="I364">
            <v>46037</v>
          </cell>
          <cell r="J364">
            <v>46034</v>
          </cell>
          <cell r="K364">
            <v>0.78859999999999997</v>
          </cell>
          <cell r="L364">
            <v>0.76100000000000001</v>
          </cell>
          <cell r="M364">
            <v>0.80049999999999999</v>
          </cell>
          <cell r="N364">
            <v>13</v>
          </cell>
          <cell r="O364">
            <v>13</v>
          </cell>
          <cell r="P364">
            <v>13</v>
          </cell>
          <cell r="Q364">
            <v>86</v>
          </cell>
          <cell r="R364">
            <v>125</v>
          </cell>
          <cell r="S364">
            <v>1</v>
          </cell>
          <cell r="T364">
            <v>1</v>
          </cell>
          <cell r="U364">
            <v>16</v>
          </cell>
          <cell r="V364">
            <v>1</v>
          </cell>
          <cell r="W364">
            <v>19</v>
          </cell>
        </row>
        <row r="365">
          <cell r="A365">
            <v>45992</v>
          </cell>
          <cell r="B365">
            <v>10047</v>
          </cell>
          <cell r="C365" t="str">
            <v>Sim</v>
          </cell>
          <cell r="D365" t="str">
            <v>208980.40 A 417960.80</v>
          </cell>
          <cell r="E365">
            <v>2500</v>
          </cell>
          <cell r="F365">
            <v>200</v>
          </cell>
          <cell r="G365">
            <v>187</v>
          </cell>
          <cell r="H365">
            <v>45642</v>
          </cell>
          <cell r="I365">
            <v>46037</v>
          </cell>
          <cell r="J365">
            <v>46034</v>
          </cell>
          <cell r="K365">
            <v>0.80149999999999999</v>
          </cell>
          <cell r="L365">
            <v>0.79</v>
          </cell>
          <cell r="M365">
            <v>0.87</v>
          </cell>
          <cell r="N365">
            <v>13</v>
          </cell>
          <cell r="O365">
            <v>12</v>
          </cell>
          <cell r="P365">
            <v>13</v>
          </cell>
          <cell r="Q365">
            <v>86</v>
          </cell>
          <cell r="R365">
            <v>124</v>
          </cell>
          <cell r="S365">
            <v>1</v>
          </cell>
          <cell r="T365">
            <v>1</v>
          </cell>
          <cell r="U365">
            <v>15</v>
          </cell>
          <cell r="V365">
            <v>1</v>
          </cell>
          <cell r="W365">
            <v>18</v>
          </cell>
        </row>
        <row r="366">
          <cell r="A366">
            <v>45992</v>
          </cell>
          <cell r="B366">
            <v>10048</v>
          </cell>
          <cell r="C366" t="str">
            <v>Sim</v>
          </cell>
          <cell r="D366" t="str">
            <v>470205.90 A 940411.80</v>
          </cell>
          <cell r="E366">
            <v>2500</v>
          </cell>
          <cell r="F366">
            <v>200</v>
          </cell>
          <cell r="G366">
            <v>187</v>
          </cell>
          <cell r="H366">
            <v>45642</v>
          </cell>
          <cell r="I366">
            <v>46037</v>
          </cell>
          <cell r="J366">
            <v>46034</v>
          </cell>
          <cell r="K366">
            <v>0.80930000000000002</v>
          </cell>
          <cell r="L366">
            <v>0.78600000000000003</v>
          </cell>
          <cell r="M366">
            <v>0.85</v>
          </cell>
          <cell r="N366">
            <v>13</v>
          </cell>
          <cell r="O366">
            <v>13</v>
          </cell>
          <cell r="P366">
            <v>13</v>
          </cell>
          <cell r="Q366">
            <v>111</v>
          </cell>
          <cell r="R366">
            <v>150</v>
          </cell>
          <cell r="S366">
            <v>1</v>
          </cell>
          <cell r="T366">
            <v>1</v>
          </cell>
          <cell r="U366">
            <v>23</v>
          </cell>
          <cell r="V366">
            <v>1</v>
          </cell>
          <cell r="W366">
            <v>26</v>
          </cell>
        </row>
        <row r="367">
          <cell r="A367">
            <v>45992</v>
          </cell>
          <cell r="B367">
            <v>10049</v>
          </cell>
          <cell r="C367" t="str">
            <v>Sim</v>
          </cell>
          <cell r="D367" t="str">
            <v>100000.00 A 200000.00</v>
          </cell>
          <cell r="E367">
            <v>2500</v>
          </cell>
          <cell r="F367">
            <v>200</v>
          </cell>
          <cell r="G367">
            <v>188</v>
          </cell>
          <cell r="H367">
            <v>45673</v>
          </cell>
          <cell r="I367">
            <v>46037</v>
          </cell>
          <cell r="J367">
            <v>46034</v>
          </cell>
          <cell r="K367">
            <v>0.8024</v>
          </cell>
          <cell r="L367">
            <v>0.79</v>
          </cell>
          <cell r="M367">
            <v>0.86670000000000003</v>
          </cell>
          <cell r="N367">
            <v>12</v>
          </cell>
          <cell r="O367">
            <v>10</v>
          </cell>
          <cell r="P367">
            <v>12</v>
          </cell>
          <cell r="Q367">
            <v>81</v>
          </cell>
          <cell r="R367">
            <v>115</v>
          </cell>
          <cell r="S367">
            <v>1</v>
          </cell>
          <cell r="T367">
            <v>1</v>
          </cell>
          <cell r="U367">
            <v>15</v>
          </cell>
          <cell r="V367">
            <v>1</v>
          </cell>
          <cell r="W367">
            <v>18</v>
          </cell>
        </row>
        <row r="368">
          <cell r="A368">
            <v>45992</v>
          </cell>
          <cell r="B368">
            <v>10050</v>
          </cell>
          <cell r="C368" t="str">
            <v>Sim</v>
          </cell>
          <cell r="D368" t="str">
            <v>450000.00 A 900000.00</v>
          </cell>
          <cell r="E368">
            <v>2500</v>
          </cell>
          <cell r="F368">
            <v>200</v>
          </cell>
          <cell r="G368">
            <v>190</v>
          </cell>
          <cell r="H368">
            <v>45729</v>
          </cell>
          <cell r="I368">
            <v>46037</v>
          </cell>
          <cell r="J368">
            <v>46034</v>
          </cell>
          <cell r="K368">
            <v>0.81679999999999997</v>
          </cell>
          <cell r="L368">
            <v>0.78</v>
          </cell>
          <cell r="M368">
            <v>0.92</v>
          </cell>
          <cell r="N368">
            <v>10</v>
          </cell>
          <cell r="O368">
            <v>9</v>
          </cell>
          <cell r="P368">
            <v>10</v>
          </cell>
          <cell r="Q368">
            <v>67</v>
          </cell>
          <cell r="R368">
            <v>96</v>
          </cell>
          <cell r="S368">
            <v>1</v>
          </cell>
          <cell r="T368">
            <v>1</v>
          </cell>
          <cell r="U368">
            <v>15</v>
          </cell>
          <cell r="V368">
            <v>1</v>
          </cell>
          <cell r="W368">
            <v>18</v>
          </cell>
        </row>
        <row r="369">
          <cell r="A369">
            <v>45992</v>
          </cell>
          <cell r="B369">
            <v>10051</v>
          </cell>
          <cell r="C369" t="str">
            <v>Sim</v>
          </cell>
          <cell r="D369" t="str">
            <v>100000.00 A 200000.00</v>
          </cell>
          <cell r="E369">
            <v>2500</v>
          </cell>
          <cell r="F369">
            <v>200</v>
          </cell>
          <cell r="G369">
            <v>191</v>
          </cell>
          <cell r="H369">
            <v>45763</v>
          </cell>
          <cell r="I369">
            <v>46037</v>
          </cell>
          <cell r="J369">
            <v>46034</v>
          </cell>
          <cell r="K369">
            <v>0.77339999999999998</v>
          </cell>
          <cell r="L369">
            <v>0.76</v>
          </cell>
          <cell r="M369">
            <v>0.8</v>
          </cell>
          <cell r="N369">
            <v>9</v>
          </cell>
          <cell r="O369">
            <v>8</v>
          </cell>
          <cell r="P369">
            <v>9</v>
          </cell>
          <cell r="Q369">
            <v>45</v>
          </cell>
          <cell r="R369">
            <v>71</v>
          </cell>
          <cell r="S369">
            <v>1</v>
          </cell>
          <cell r="T369">
            <v>1</v>
          </cell>
          <cell r="U369">
            <v>8</v>
          </cell>
          <cell r="V369">
            <v>1</v>
          </cell>
          <cell r="W369">
            <v>11</v>
          </cell>
        </row>
        <row r="370">
          <cell r="A370">
            <v>45992</v>
          </cell>
          <cell r="B370">
            <v>10052</v>
          </cell>
          <cell r="C370" t="str">
            <v>Sim</v>
          </cell>
          <cell r="D370" t="str">
            <v>200000.00 A 400000.00</v>
          </cell>
          <cell r="E370">
            <v>2500</v>
          </cell>
          <cell r="F370">
            <v>200</v>
          </cell>
          <cell r="G370">
            <v>192</v>
          </cell>
          <cell r="H370">
            <v>45792</v>
          </cell>
          <cell r="I370">
            <v>46037</v>
          </cell>
          <cell r="J370">
            <v>46034</v>
          </cell>
          <cell r="K370">
            <v>0.78249999999999997</v>
          </cell>
          <cell r="L370">
            <v>0.77990000000000004</v>
          </cell>
          <cell r="M370">
            <v>0.80089999999999995</v>
          </cell>
          <cell r="N370">
            <v>8</v>
          </cell>
          <cell r="O370">
            <v>8</v>
          </cell>
          <cell r="P370">
            <v>6</v>
          </cell>
          <cell r="Q370">
            <v>39</v>
          </cell>
          <cell r="R370">
            <v>61</v>
          </cell>
          <cell r="S370">
            <v>1</v>
          </cell>
          <cell r="T370">
            <v>1</v>
          </cell>
          <cell r="U370">
            <v>15</v>
          </cell>
          <cell r="V370">
            <v>1</v>
          </cell>
          <cell r="W370">
            <v>18</v>
          </cell>
        </row>
        <row r="371">
          <cell r="A371">
            <v>45992</v>
          </cell>
          <cell r="B371">
            <v>10053</v>
          </cell>
          <cell r="C371" t="str">
            <v>Sim</v>
          </cell>
          <cell r="D371" t="str">
            <v>450000.00 A 900000.00</v>
          </cell>
          <cell r="E371">
            <v>2500</v>
          </cell>
          <cell r="F371">
            <v>200</v>
          </cell>
          <cell r="G371">
            <v>195</v>
          </cell>
          <cell r="H371">
            <v>45883</v>
          </cell>
          <cell r="I371">
            <v>46037</v>
          </cell>
          <cell r="J371">
            <v>46034</v>
          </cell>
          <cell r="K371">
            <v>0.80169999999999997</v>
          </cell>
          <cell r="L371">
            <v>0.75</v>
          </cell>
          <cell r="M371">
            <v>0.85</v>
          </cell>
          <cell r="N371">
            <v>5</v>
          </cell>
          <cell r="O371">
            <v>5</v>
          </cell>
          <cell r="P371">
            <v>5</v>
          </cell>
          <cell r="Q371">
            <v>28</v>
          </cell>
          <cell r="R371">
            <v>43</v>
          </cell>
          <cell r="S371">
            <v>1</v>
          </cell>
          <cell r="T371">
            <v>1</v>
          </cell>
          <cell r="U371">
            <v>18</v>
          </cell>
          <cell r="V371">
            <v>1</v>
          </cell>
          <cell r="W371">
            <v>21</v>
          </cell>
        </row>
        <row r="372">
          <cell r="A372">
            <v>45992</v>
          </cell>
          <cell r="B372">
            <v>10054</v>
          </cell>
          <cell r="C372" t="str">
            <v>Sim</v>
          </cell>
          <cell r="D372" t="str">
            <v>100000.00 A 200000.00</v>
          </cell>
          <cell r="E372">
            <v>2500</v>
          </cell>
          <cell r="F372">
            <v>200</v>
          </cell>
          <cell r="G372">
            <v>195</v>
          </cell>
          <cell r="H372">
            <v>45883</v>
          </cell>
          <cell r="I372">
            <v>46037</v>
          </cell>
          <cell r="J372">
            <v>46034</v>
          </cell>
          <cell r="K372">
            <v>0.79210000000000003</v>
          </cell>
          <cell r="L372">
            <v>0.78500000000000003</v>
          </cell>
          <cell r="M372">
            <v>0.84</v>
          </cell>
          <cell r="N372">
            <v>5</v>
          </cell>
          <cell r="O372">
            <v>5</v>
          </cell>
          <cell r="P372">
            <v>5</v>
          </cell>
          <cell r="Q372">
            <v>26</v>
          </cell>
          <cell r="R372">
            <v>41</v>
          </cell>
          <cell r="S372">
            <v>1</v>
          </cell>
          <cell r="T372">
            <v>1</v>
          </cell>
          <cell r="U372">
            <v>10</v>
          </cell>
          <cell r="V372">
            <v>1</v>
          </cell>
          <cell r="W372">
            <v>13</v>
          </cell>
        </row>
        <row r="373">
          <cell r="A373">
            <v>45992</v>
          </cell>
          <cell r="B373">
            <v>10055</v>
          </cell>
          <cell r="C373" t="str">
            <v>Sim</v>
          </cell>
          <cell r="D373" t="str">
            <v>100000.00 A 200000.00</v>
          </cell>
          <cell r="E373">
            <v>2500</v>
          </cell>
          <cell r="F373">
            <v>200</v>
          </cell>
          <cell r="G373">
            <v>197</v>
          </cell>
          <cell r="H373">
            <v>45946</v>
          </cell>
          <cell r="I373">
            <v>46037</v>
          </cell>
          <cell r="J373">
            <v>46034</v>
          </cell>
          <cell r="K373">
            <v>0.82499999999999996</v>
          </cell>
          <cell r="L373">
            <v>0.78500000000000003</v>
          </cell>
          <cell r="M373">
            <v>0.98499999999999999</v>
          </cell>
          <cell r="N373">
            <v>3</v>
          </cell>
          <cell r="O373">
            <v>3</v>
          </cell>
          <cell r="P373">
            <v>3</v>
          </cell>
          <cell r="Q373">
            <v>21</v>
          </cell>
          <cell r="R373">
            <v>30</v>
          </cell>
          <cell r="S373">
            <v>1</v>
          </cell>
          <cell r="T373">
            <v>1</v>
          </cell>
          <cell r="U373">
            <v>17</v>
          </cell>
          <cell r="V373">
            <v>1</v>
          </cell>
          <cell r="W373">
            <v>20</v>
          </cell>
        </row>
        <row r="374">
          <cell r="A374">
            <v>45992</v>
          </cell>
          <cell r="B374">
            <v>10056</v>
          </cell>
          <cell r="C374" t="str">
            <v>Sim</v>
          </cell>
          <cell r="D374" t="str">
            <v>200000.00 A 400000.00</v>
          </cell>
          <cell r="E374">
            <v>2500</v>
          </cell>
          <cell r="F374">
            <v>200</v>
          </cell>
          <cell r="G374">
            <v>198</v>
          </cell>
          <cell r="H374">
            <v>45974</v>
          </cell>
          <cell r="I374">
            <v>46037</v>
          </cell>
          <cell r="J374">
            <v>46034</v>
          </cell>
          <cell r="K374">
            <v>0.82179999999999997</v>
          </cell>
          <cell r="L374">
            <v>0.80520000000000003</v>
          </cell>
          <cell r="M374">
            <v>0.85</v>
          </cell>
          <cell r="N374">
            <v>2</v>
          </cell>
          <cell r="O374">
            <v>1</v>
          </cell>
          <cell r="P374">
            <v>2</v>
          </cell>
          <cell r="Q374">
            <v>11</v>
          </cell>
          <cell r="R374">
            <v>16</v>
          </cell>
          <cell r="S374">
            <v>1</v>
          </cell>
          <cell r="T374">
            <v>1</v>
          </cell>
          <cell r="U374">
            <v>9</v>
          </cell>
          <cell r="V374">
            <v>1</v>
          </cell>
          <cell r="W374">
            <v>12</v>
          </cell>
        </row>
        <row r="375">
          <cell r="A375">
            <v>45992</v>
          </cell>
          <cell r="B375">
            <v>10057</v>
          </cell>
          <cell r="C375" t="str">
            <v>Não</v>
          </cell>
          <cell r="D375" t="str">
            <v>50000.00 A 90000.00</v>
          </cell>
          <cell r="E375">
            <v>2500</v>
          </cell>
          <cell r="F375">
            <v>200</v>
          </cell>
          <cell r="G375">
            <v>198</v>
          </cell>
          <cell r="H375">
            <v>45987</v>
          </cell>
          <cell r="I375">
            <v>46037</v>
          </cell>
          <cell r="J375">
            <v>46034</v>
          </cell>
          <cell r="K375">
            <v>0</v>
          </cell>
          <cell r="L375">
            <v>0</v>
          </cell>
          <cell r="M375">
            <v>0</v>
          </cell>
          <cell r="N375">
            <v>2</v>
          </cell>
          <cell r="O375">
            <v>2</v>
          </cell>
          <cell r="P375">
            <v>1</v>
          </cell>
          <cell r="Q375">
            <v>0</v>
          </cell>
          <cell r="R375">
            <v>5</v>
          </cell>
          <cell r="S375">
            <v>1</v>
          </cell>
          <cell r="T375">
            <v>1</v>
          </cell>
          <cell r="U375">
            <v>0</v>
          </cell>
          <cell r="V375">
            <v>1</v>
          </cell>
          <cell r="W375">
            <v>3</v>
          </cell>
        </row>
        <row r="376">
          <cell r="A376">
            <v>45992</v>
          </cell>
          <cell r="B376">
            <v>10058</v>
          </cell>
          <cell r="C376" t="str">
            <v>Não</v>
          </cell>
          <cell r="D376" t="str">
            <v>100000.00 A 200000.00</v>
          </cell>
          <cell r="E376">
            <v>2500</v>
          </cell>
          <cell r="F376">
            <v>200</v>
          </cell>
          <cell r="G376">
            <v>199</v>
          </cell>
          <cell r="H376">
            <v>46009</v>
          </cell>
          <cell r="I376">
            <v>46034</v>
          </cell>
          <cell r="J376">
            <v>46032</v>
          </cell>
          <cell r="K376">
            <v>0</v>
          </cell>
          <cell r="L376">
            <v>0.50149999999999995</v>
          </cell>
          <cell r="M376">
            <v>0.50149999999999995</v>
          </cell>
          <cell r="N376">
            <v>1</v>
          </cell>
          <cell r="O376">
            <v>1</v>
          </cell>
          <cell r="P376">
            <v>0</v>
          </cell>
          <cell r="Q376">
            <v>1</v>
          </cell>
          <cell r="R376">
            <v>3</v>
          </cell>
          <cell r="S376">
            <v>1</v>
          </cell>
          <cell r="T376">
            <v>1</v>
          </cell>
          <cell r="U376">
            <v>1</v>
          </cell>
          <cell r="V376">
            <v>0</v>
          </cell>
          <cell r="W376">
            <v>3</v>
          </cell>
        </row>
        <row r="377">
          <cell r="A377">
            <v>45992</v>
          </cell>
          <cell r="B377">
            <v>10059</v>
          </cell>
          <cell r="C377" t="str">
            <v>Sim</v>
          </cell>
          <cell r="D377" t="str">
            <v>450000.00 A 900000.00</v>
          </cell>
          <cell r="E377">
            <v>2500</v>
          </cell>
          <cell r="F377">
            <v>200</v>
          </cell>
          <cell r="G377">
            <v>199</v>
          </cell>
          <cell r="H377">
            <v>46006</v>
          </cell>
          <cell r="I377">
            <v>46034</v>
          </cell>
          <cell r="J377">
            <v>46032</v>
          </cell>
          <cell r="K377">
            <v>0.9113</v>
          </cell>
          <cell r="L377">
            <v>0.83399999999999996</v>
          </cell>
          <cell r="M377">
            <v>0.95</v>
          </cell>
          <cell r="N377">
            <v>1</v>
          </cell>
          <cell r="O377">
            <v>1</v>
          </cell>
          <cell r="P377">
            <v>1</v>
          </cell>
          <cell r="Q377">
            <v>3</v>
          </cell>
          <cell r="R377">
            <v>6</v>
          </cell>
          <cell r="S377">
            <v>1</v>
          </cell>
          <cell r="T377">
            <v>1</v>
          </cell>
          <cell r="U377">
            <v>3</v>
          </cell>
          <cell r="V377">
            <v>1</v>
          </cell>
          <cell r="W377">
            <v>6</v>
          </cell>
        </row>
        <row r="378">
          <cell r="A378">
            <v>46023</v>
          </cell>
          <cell r="B378">
            <v>10001</v>
          </cell>
          <cell r="C378" t="str">
            <v>Não</v>
          </cell>
          <cell r="D378" t="str">
            <v>61273.14 A 110291.66</v>
          </cell>
          <cell r="E378">
            <v>1000</v>
          </cell>
          <cell r="F378">
            <v>200</v>
          </cell>
          <cell r="G378">
            <v>149</v>
          </cell>
          <cell r="H378">
            <v>44522</v>
          </cell>
          <cell r="I378">
            <v>46072</v>
          </cell>
          <cell r="J378">
            <v>46063</v>
          </cell>
          <cell r="K378">
            <v>0.56479999999999997</v>
          </cell>
          <cell r="L378">
            <v>0.5222</v>
          </cell>
          <cell r="M378">
            <v>0.745</v>
          </cell>
          <cell r="N378">
            <v>50</v>
          </cell>
          <cell r="O378">
            <v>83</v>
          </cell>
          <cell r="P378">
            <v>37</v>
          </cell>
          <cell r="Q378">
            <v>141</v>
          </cell>
          <cell r="R378">
            <v>311</v>
          </cell>
          <cell r="S378">
            <v>1</v>
          </cell>
          <cell r="T378">
            <v>1</v>
          </cell>
          <cell r="U378">
            <v>5</v>
          </cell>
          <cell r="V378">
            <v>1</v>
          </cell>
          <cell r="W378">
            <v>8</v>
          </cell>
        </row>
        <row r="379">
          <cell r="A379">
            <v>46023</v>
          </cell>
          <cell r="B379">
            <v>10002</v>
          </cell>
          <cell r="C379" t="str">
            <v>Não</v>
          </cell>
          <cell r="D379" t="str">
            <v>114331.18 A 228662.37</v>
          </cell>
          <cell r="E379">
            <v>1000</v>
          </cell>
          <cell r="F379">
            <v>200</v>
          </cell>
          <cell r="G379">
            <v>153</v>
          </cell>
          <cell r="H379">
            <v>44641</v>
          </cell>
          <cell r="I379">
            <v>46072</v>
          </cell>
          <cell r="J379">
            <v>46063</v>
          </cell>
          <cell r="K379">
            <v>0.54900000000000004</v>
          </cell>
          <cell r="L379">
            <v>0.55049999999999999</v>
          </cell>
          <cell r="M379">
            <v>0.59899999999999998</v>
          </cell>
          <cell r="N379">
            <v>46</v>
          </cell>
          <cell r="O379">
            <v>63</v>
          </cell>
          <cell r="P379">
            <v>41</v>
          </cell>
          <cell r="Q379">
            <v>165</v>
          </cell>
          <cell r="R379">
            <v>315</v>
          </cell>
          <cell r="S379">
            <v>1</v>
          </cell>
          <cell r="T379">
            <v>1</v>
          </cell>
          <cell r="U379">
            <v>9</v>
          </cell>
          <cell r="V379">
            <v>1</v>
          </cell>
          <cell r="W379">
            <v>12</v>
          </cell>
        </row>
        <row r="380">
          <cell r="A380">
            <v>46023</v>
          </cell>
          <cell r="B380">
            <v>10003</v>
          </cell>
          <cell r="C380" t="str">
            <v>Não</v>
          </cell>
          <cell r="D380" t="str">
            <v>251528.60 A 457324.74</v>
          </cell>
          <cell r="E380">
            <v>1000</v>
          </cell>
          <cell r="F380">
            <v>200</v>
          </cell>
          <cell r="G380">
            <v>153</v>
          </cell>
          <cell r="H380">
            <v>44641</v>
          </cell>
          <cell r="I380">
            <v>46072</v>
          </cell>
          <cell r="J380">
            <v>46063</v>
          </cell>
          <cell r="K380">
            <v>0.62129999999999996</v>
          </cell>
          <cell r="L380">
            <v>0.55659999999999998</v>
          </cell>
          <cell r="M380">
            <v>0.7</v>
          </cell>
          <cell r="N380">
            <v>43</v>
          </cell>
          <cell r="O380">
            <v>136</v>
          </cell>
          <cell r="P380">
            <v>35</v>
          </cell>
          <cell r="Q380">
            <v>167</v>
          </cell>
          <cell r="R380">
            <v>381</v>
          </cell>
          <cell r="S380">
            <v>1</v>
          </cell>
          <cell r="T380">
            <v>1</v>
          </cell>
          <cell r="U380">
            <v>8</v>
          </cell>
          <cell r="V380">
            <v>1</v>
          </cell>
          <cell r="W380">
            <v>11</v>
          </cell>
        </row>
        <row r="381">
          <cell r="A381">
            <v>46023</v>
          </cell>
          <cell r="B381">
            <v>10004</v>
          </cell>
          <cell r="C381" t="str">
            <v>Sim</v>
          </cell>
          <cell r="D381" t="str">
            <v>122546.29 A 245092.57</v>
          </cell>
          <cell r="E381">
            <v>1000</v>
          </cell>
          <cell r="F381">
            <v>200</v>
          </cell>
          <cell r="G381">
            <v>149</v>
          </cell>
          <cell r="H381">
            <v>44518</v>
          </cell>
          <cell r="I381">
            <v>46072</v>
          </cell>
          <cell r="J381">
            <v>46063</v>
          </cell>
          <cell r="K381">
            <v>0.69350000000000001</v>
          </cell>
          <cell r="L381">
            <v>0.67030000000000001</v>
          </cell>
          <cell r="M381">
            <v>0.745</v>
          </cell>
          <cell r="N381">
            <v>50</v>
          </cell>
          <cell r="O381">
            <v>57</v>
          </cell>
          <cell r="P381">
            <v>44</v>
          </cell>
          <cell r="Q381">
            <v>189</v>
          </cell>
          <cell r="R381">
            <v>340</v>
          </cell>
          <cell r="S381">
            <v>1</v>
          </cell>
          <cell r="T381">
            <v>1</v>
          </cell>
          <cell r="U381">
            <v>8</v>
          </cell>
          <cell r="V381">
            <v>1</v>
          </cell>
          <cell r="W381">
            <v>11</v>
          </cell>
        </row>
        <row r="382">
          <cell r="A382">
            <v>46023</v>
          </cell>
          <cell r="B382">
            <v>10005</v>
          </cell>
          <cell r="C382" t="str">
            <v>Sim</v>
          </cell>
          <cell r="D382" t="str">
            <v>269601.82 A 490185.13</v>
          </cell>
          <cell r="E382">
            <v>1000</v>
          </cell>
          <cell r="F382">
            <v>200</v>
          </cell>
          <cell r="G382">
            <v>149</v>
          </cell>
          <cell r="H382">
            <v>44518</v>
          </cell>
          <cell r="I382">
            <v>46072</v>
          </cell>
          <cell r="J382">
            <v>46063</v>
          </cell>
          <cell r="K382">
            <v>0.72399999999999998</v>
          </cell>
          <cell r="L382">
            <v>0.73109999999999997</v>
          </cell>
          <cell r="M382">
            <v>0.745</v>
          </cell>
          <cell r="N382">
            <v>50</v>
          </cell>
          <cell r="O382">
            <v>54</v>
          </cell>
          <cell r="P382">
            <v>44</v>
          </cell>
          <cell r="Q382">
            <v>208</v>
          </cell>
          <cell r="R382">
            <v>356</v>
          </cell>
          <cell r="S382">
            <v>1</v>
          </cell>
          <cell r="T382">
            <v>1</v>
          </cell>
          <cell r="U382">
            <v>6</v>
          </cell>
          <cell r="V382">
            <v>1</v>
          </cell>
          <cell r="W382">
            <v>9</v>
          </cell>
        </row>
        <row r="383">
          <cell r="A383">
            <v>46023</v>
          </cell>
          <cell r="B383">
            <v>10006</v>
          </cell>
          <cell r="C383" t="str">
            <v>Sim</v>
          </cell>
          <cell r="D383" t="str">
            <v>551458.27 A 1102916.54</v>
          </cell>
          <cell r="E383">
            <v>1000</v>
          </cell>
          <cell r="F383">
            <v>200</v>
          </cell>
          <cell r="G383">
            <v>149</v>
          </cell>
          <cell r="H383">
            <v>44518</v>
          </cell>
          <cell r="I383">
            <v>46072</v>
          </cell>
          <cell r="J383">
            <v>46063</v>
          </cell>
          <cell r="K383">
            <v>0.72299999999999998</v>
          </cell>
          <cell r="L383">
            <v>0.7</v>
          </cell>
          <cell r="M383">
            <v>0.745</v>
          </cell>
          <cell r="N383">
            <v>48</v>
          </cell>
          <cell r="O383">
            <v>64</v>
          </cell>
          <cell r="P383">
            <v>44</v>
          </cell>
          <cell r="Q383">
            <v>256</v>
          </cell>
          <cell r="R383">
            <v>412</v>
          </cell>
          <cell r="S383">
            <v>1</v>
          </cell>
          <cell r="T383">
            <v>1</v>
          </cell>
          <cell r="U383">
            <v>13</v>
          </cell>
          <cell r="V383">
            <v>1</v>
          </cell>
          <cell r="W383">
            <v>16</v>
          </cell>
        </row>
        <row r="384">
          <cell r="A384">
            <v>46023</v>
          </cell>
          <cell r="B384">
            <v>10007</v>
          </cell>
          <cell r="C384" t="str">
            <v>Sim</v>
          </cell>
          <cell r="D384" t="str">
            <v>115097.19 A 230194.37</v>
          </cell>
          <cell r="E384">
            <v>1000</v>
          </cell>
          <cell r="F384">
            <v>200</v>
          </cell>
          <cell r="G384">
            <v>152</v>
          </cell>
          <cell r="H384">
            <v>44613</v>
          </cell>
          <cell r="I384">
            <v>46072</v>
          </cell>
          <cell r="J384">
            <v>46063</v>
          </cell>
          <cell r="K384">
            <v>0.66069999999999995</v>
          </cell>
          <cell r="L384">
            <v>0.65</v>
          </cell>
          <cell r="M384">
            <v>0.7</v>
          </cell>
          <cell r="N384">
            <v>47</v>
          </cell>
          <cell r="O384">
            <v>114</v>
          </cell>
          <cell r="P384">
            <v>40</v>
          </cell>
          <cell r="Q384">
            <v>192</v>
          </cell>
          <cell r="R384">
            <v>393</v>
          </cell>
          <cell r="S384">
            <v>1</v>
          </cell>
          <cell r="T384">
            <v>1</v>
          </cell>
          <cell r="U384">
            <v>7</v>
          </cell>
          <cell r="V384">
            <v>1</v>
          </cell>
          <cell r="W384">
            <v>10</v>
          </cell>
        </row>
        <row r="385">
          <cell r="A385">
            <v>46023</v>
          </cell>
          <cell r="B385">
            <v>10008</v>
          </cell>
          <cell r="C385" t="str">
            <v>Sim</v>
          </cell>
          <cell r="D385" t="str">
            <v>251528.60 A 457324.74</v>
          </cell>
          <cell r="E385">
            <v>1000</v>
          </cell>
          <cell r="F385">
            <v>200</v>
          </cell>
          <cell r="G385">
            <v>153</v>
          </cell>
          <cell r="H385">
            <v>44641</v>
          </cell>
          <cell r="I385">
            <v>46072</v>
          </cell>
          <cell r="J385">
            <v>46063</v>
          </cell>
          <cell r="K385">
            <v>0.71419999999999995</v>
          </cell>
          <cell r="L385">
            <v>0.73</v>
          </cell>
          <cell r="M385">
            <v>0.76500000000000001</v>
          </cell>
          <cell r="N385">
            <v>46</v>
          </cell>
          <cell r="O385">
            <v>92</v>
          </cell>
          <cell r="P385">
            <v>43</v>
          </cell>
          <cell r="Q385">
            <v>197</v>
          </cell>
          <cell r="R385">
            <v>378</v>
          </cell>
          <cell r="S385">
            <v>1</v>
          </cell>
          <cell r="T385">
            <v>1</v>
          </cell>
          <cell r="U385">
            <v>9</v>
          </cell>
          <cell r="V385">
            <v>1</v>
          </cell>
          <cell r="W385">
            <v>12</v>
          </cell>
        </row>
        <row r="386">
          <cell r="A386">
            <v>46023</v>
          </cell>
          <cell r="B386">
            <v>10009</v>
          </cell>
          <cell r="C386" t="str">
            <v>Sim</v>
          </cell>
          <cell r="D386" t="str">
            <v>114331.18 A 228662.37</v>
          </cell>
          <cell r="E386">
            <v>1000</v>
          </cell>
          <cell r="F386">
            <v>200</v>
          </cell>
          <cell r="G386">
            <v>153</v>
          </cell>
          <cell r="H386">
            <v>44641</v>
          </cell>
          <cell r="I386">
            <v>46072</v>
          </cell>
          <cell r="J386">
            <v>46063</v>
          </cell>
          <cell r="K386">
            <v>0.68940000000000001</v>
          </cell>
          <cell r="L386">
            <v>0.66510000000000002</v>
          </cell>
          <cell r="M386">
            <v>0.70120000000000005</v>
          </cell>
          <cell r="N386">
            <v>46</v>
          </cell>
          <cell r="O386">
            <v>84</v>
          </cell>
          <cell r="P386">
            <v>42</v>
          </cell>
          <cell r="Q386">
            <v>174</v>
          </cell>
          <cell r="R386">
            <v>346</v>
          </cell>
          <cell r="S386">
            <v>1</v>
          </cell>
          <cell r="T386">
            <v>1</v>
          </cell>
          <cell r="U386">
            <v>6</v>
          </cell>
          <cell r="V386">
            <v>1</v>
          </cell>
          <cell r="W386">
            <v>9</v>
          </cell>
        </row>
        <row r="387">
          <cell r="A387">
            <v>46023</v>
          </cell>
          <cell r="B387">
            <v>10010</v>
          </cell>
          <cell r="C387" t="str">
            <v>Sim</v>
          </cell>
          <cell r="D387" t="str">
            <v>514490.33 A 1028980.65</v>
          </cell>
          <cell r="E387">
            <v>1000</v>
          </cell>
          <cell r="F387">
            <v>200</v>
          </cell>
          <cell r="G387">
            <v>153</v>
          </cell>
          <cell r="H387">
            <v>44641</v>
          </cell>
          <cell r="I387">
            <v>46072</v>
          </cell>
          <cell r="J387">
            <v>46063</v>
          </cell>
          <cell r="K387">
            <v>0.76890000000000003</v>
          </cell>
          <cell r="L387">
            <v>0.76500000000000001</v>
          </cell>
          <cell r="M387">
            <v>0.76500000000000001</v>
          </cell>
          <cell r="N387">
            <v>47</v>
          </cell>
          <cell r="O387">
            <v>70</v>
          </cell>
          <cell r="P387">
            <v>37</v>
          </cell>
          <cell r="Q387">
            <v>222</v>
          </cell>
          <cell r="R387">
            <v>376</v>
          </cell>
          <cell r="S387">
            <v>1</v>
          </cell>
          <cell r="T387">
            <v>1</v>
          </cell>
          <cell r="U387">
            <v>11</v>
          </cell>
          <cell r="V387">
            <v>1</v>
          </cell>
          <cell r="W387">
            <v>14</v>
          </cell>
        </row>
        <row r="388">
          <cell r="A388">
            <v>46023</v>
          </cell>
          <cell r="B388">
            <v>10011</v>
          </cell>
          <cell r="C388" t="str">
            <v>Não</v>
          </cell>
          <cell r="D388" t="str">
            <v>57165.59 A 102898.06</v>
          </cell>
          <cell r="E388">
            <v>1000</v>
          </cell>
          <cell r="F388">
            <v>200</v>
          </cell>
          <cell r="G388">
            <v>153</v>
          </cell>
          <cell r="H388">
            <v>44641</v>
          </cell>
          <cell r="I388">
            <v>46072</v>
          </cell>
          <cell r="J388">
            <v>46063</v>
          </cell>
          <cell r="K388">
            <v>0.55020000000000002</v>
          </cell>
          <cell r="L388">
            <v>0.63</v>
          </cell>
          <cell r="M388">
            <v>0.65029999999999999</v>
          </cell>
          <cell r="N388">
            <v>45</v>
          </cell>
          <cell r="O388">
            <v>48</v>
          </cell>
          <cell r="P388">
            <v>37</v>
          </cell>
          <cell r="Q388">
            <v>120</v>
          </cell>
          <cell r="R388">
            <v>250</v>
          </cell>
          <cell r="S388">
            <v>1</v>
          </cell>
          <cell r="T388">
            <v>1</v>
          </cell>
          <cell r="U388">
            <v>4</v>
          </cell>
          <cell r="V388">
            <v>1</v>
          </cell>
          <cell r="W388">
            <v>7</v>
          </cell>
        </row>
        <row r="389">
          <cell r="A389">
            <v>46023</v>
          </cell>
          <cell r="B389">
            <v>10012</v>
          </cell>
          <cell r="C389" t="str">
            <v>Sim</v>
          </cell>
          <cell r="D389" t="str">
            <v>248357.94 A 451559.90</v>
          </cell>
          <cell r="E389">
            <v>1000</v>
          </cell>
          <cell r="F389">
            <v>200</v>
          </cell>
          <cell r="G389">
            <v>156</v>
          </cell>
          <cell r="H389">
            <v>44732</v>
          </cell>
          <cell r="I389">
            <v>46072</v>
          </cell>
          <cell r="J389">
            <v>46063</v>
          </cell>
          <cell r="K389">
            <v>0.69499999999999995</v>
          </cell>
          <cell r="L389">
            <v>0.67300000000000004</v>
          </cell>
          <cell r="M389">
            <v>0.71</v>
          </cell>
          <cell r="N389">
            <v>43</v>
          </cell>
          <cell r="O389">
            <v>86</v>
          </cell>
          <cell r="P389">
            <v>37</v>
          </cell>
          <cell r="Q389">
            <v>182</v>
          </cell>
          <cell r="R389">
            <v>348</v>
          </cell>
          <cell r="S389">
            <v>1</v>
          </cell>
          <cell r="T389">
            <v>1</v>
          </cell>
          <cell r="U389">
            <v>9</v>
          </cell>
          <cell r="V389">
            <v>1</v>
          </cell>
          <cell r="W389">
            <v>12</v>
          </cell>
        </row>
        <row r="390">
          <cell r="A390">
            <v>46023</v>
          </cell>
          <cell r="B390">
            <v>10013</v>
          </cell>
          <cell r="C390" t="str">
            <v>Sim</v>
          </cell>
          <cell r="D390" t="str">
            <v>508004.88 A 1016009.75</v>
          </cell>
          <cell r="E390">
            <v>1000</v>
          </cell>
          <cell r="F390">
            <v>200</v>
          </cell>
          <cell r="G390">
            <v>156</v>
          </cell>
          <cell r="H390">
            <v>44732</v>
          </cell>
          <cell r="I390">
            <v>46072</v>
          </cell>
          <cell r="J390">
            <v>46063</v>
          </cell>
          <cell r="K390">
            <v>0.75990000000000002</v>
          </cell>
          <cell r="L390">
            <v>0.75</v>
          </cell>
          <cell r="M390">
            <v>0.78</v>
          </cell>
          <cell r="N390">
            <v>42</v>
          </cell>
          <cell r="O390">
            <v>109</v>
          </cell>
          <cell r="P390">
            <v>37</v>
          </cell>
          <cell r="Q390">
            <v>203</v>
          </cell>
          <cell r="R390">
            <v>391</v>
          </cell>
          <cell r="S390">
            <v>1</v>
          </cell>
          <cell r="T390">
            <v>1</v>
          </cell>
          <cell r="U390">
            <v>11</v>
          </cell>
          <cell r="V390">
            <v>1</v>
          </cell>
          <cell r="W390">
            <v>14</v>
          </cell>
        </row>
        <row r="391">
          <cell r="A391">
            <v>46023</v>
          </cell>
          <cell r="B391">
            <v>10014</v>
          </cell>
          <cell r="C391" t="str">
            <v>Sim</v>
          </cell>
          <cell r="D391" t="str">
            <v>113519.11 A 227038.20</v>
          </cell>
          <cell r="E391">
            <v>1000</v>
          </cell>
          <cell r="F391">
            <v>200</v>
          </cell>
          <cell r="G391">
            <v>155</v>
          </cell>
          <cell r="H391">
            <v>44708</v>
          </cell>
          <cell r="I391">
            <v>46072</v>
          </cell>
          <cell r="J391">
            <v>46063</v>
          </cell>
          <cell r="K391">
            <v>0.68969999999999998</v>
          </cell>
          <cell r="L391">
            <v>0.65890000000000004</v>
          </cell>
          <cell r="M391">
            <v>0.77500000000000002</v>
          </cell>
          <cell r="N391">
            <v>45</v>
          </cell>
          <cell r="O391">
            <v>94</v>
          </cell>
          <cell r="P391">
            <v>39</v>
          </cell>
          <cell r="Q391">
            <v>172</v>
          </cell>
          <cell r="R391">
            <v>350</v>
          </cell>
          <cell r="S391">
            <v>1</v>
          </cell>
          <cell r="T391">
            <v>1</v>
          </cell>
          <cell r="U391">
            <v>8</v>
          </cell>
          <cell r="V391">
            <v>1</v>
          </cell>
          <cell r="W391">
            <v>11</v>
          </cell>
        </row>
        <row r="392">
          <cell r="A392">
            <v>46023</v>
          </cell>
          <cell r="B392">
            <v>10015</v>
          </cell>
          <cell r="C392" t="str">
            <v>Sim</v>
          </cell>
          <cell r="D392" t="str">
            <v>112777.57 A 225555.15</v>
          </cell>
          <cell r="E392">
            <v>1000</v>
          </cell>
          <cell r="F392">
            <v>200</v>
          </cell>
          <cell r="G392">
            <v>157</v>
          </cell>
          <cell r="H392">
            <v>44760</v>
          </cell>
          <cell r="I392">
            <v>46072</v>
          </cell>
          <cell r="J392">
            <v>46063</v>
          </cell>
          <cell r="K392">
            <v>0.67630000000000001</v>
          </cell>
          <cell r="L392">
            <v>0.65710000000000002</v>
          </cell>
          <cell r="M392">
            <v>0.78</v>
          </cell>
          <cell r="N392">
            <v>43</v>
          </cell>
          <cell r="O392">
            <v>90</v>
          </cell>
          <cell r="P392">
            <v>37</v>
          </cell>
          <cell r="Q392">
            <v>160</v>
          </cell>
          <cell r="R392">
            <v>330</v>
          </cell>
          <cell r="S392">
            <v>1</v>
          </cell>
          <cell r="T392">
            <v>1</v>
          </cell>
          <cell r="U392">
            <v>11</v>
          </cell>
          <cell r="V392">
            <v>1</v>
          </cell>
          <cell r="W392">
            <v>14</v>
          </cell>
        </row>
        <row r="393">
          <cell r="A393">
            <v>46023</v>
          </cell>
          <cell r="B393">
            <v>10016</v>
          </cell>
          <cell r="C393" t="str">
            <v>Não</v>
          </cell>
          <cell r="D393" t="str">
            <v>56627.95 A 101930.32</v>
          </cell>
          <cell r="E393">
            <v>1000</v>
          </cell>
          <cell r="F393">
            <v>200</v>
          </cell>
          <cell r="G393">
            <v>159</v>
          </cell>
          <cell r="H393">
            <v>44832</v>
          </cell>
          <cell r="I393">
            <v>46072</v>
          </cell>
          <cell r="J393">
            <v>46063</v>
          </cell>
          <cell r="K393">
            <v>0.66649999999999998</v>
          </cell>
          <cell r="L393">
            <v>0.60829999999999995</v>
          </cell>
          <cell r="M393">
            <v>0.73019999999999996</v>
          </cell>
          <cell r="N393">
            <v>37</v>
          </cell>
          <cell r="O393">
            <v>48</v>
          </cell>
          <cell r="P393">
            <v>31</v>
          </cell>
          <cell r="Q393">
            <v>91</v>
          </cell>
          <cell r="R393">
            <v>207</v>
          </cell>
          <cell r="S393">
            <v>1</v>
          </cell>
          <cell r="T393">
            <v>1</v>
          </cell>
          <cell r="U393">
            <v>5</v>
          </cell>
          <cell r="V393">
            <v>1</v>
          </cell>
          <cell r="W393">
            <v>8</v>
          </cell>
        </row>
        <row r="394">
          <cell r="A394">
            <v>46023</v>
          </cell>
          <cell r="B394">
            <v>10017</v>
          </cell>
          <cell r="C394" t="str">
            <v>Sim</v>
          </cell>
          <cell r="D394" t="str">
            <v>247149.03 A 449361.88</v>
          </cell>
          <cell r="E394">
            <v>1000</v>
          </cell>
          <cell r="F394">
            <v>200</v>
          </cell>
          <cell r="G394">
            <v>158</v>
          </cell>
          <cell r="H394">
            <v>44802</v>
          </cell>
          <cell r="I394">
            <v>46072</v>
          </cell>
          <cell r="J394">
            <v>46063</v>
          </cell>
          <cell r="K394">
            <v>0.76129999999999998</v>
          </cell>
          <cell r="L394">
            <v>0.75</v>
          </cell>
          <cell r="M394">
            <v>0.79</v>
          </cell>
          <cell r="N394">
            <v>42</v>
          </cell>
          <cell r="O394">
            <v>53</v>
          </cell>
          <cell r="P394">
            <v>36</v>
          </cell>
          <cell r="Q394">
            <v>167</v>
          </cell>
          <cell r="R394">
            <v>298</v>
          </cell>
          <cell r="S394">
            <v>1</v>
          </cell>
          <cell r="T394">
            <v>1</v>
          </cell>
          <cell r="U394">
            <v>9</v>
          </cell>
          <cell r="V394">
            <v>1</v>
          </cell>
          <cell r="W394">
            <v>12</v>
          </cell>
        </row>
        <row r="395">
          <cell r="A395">
            <v>46023</v>
          </cell>
          <cell r="B395">
            <v>10018</v>
          </cell>
          <cell r="C395" t="str">
            <v>Sim</v>
          </cell>
          <cell r="D395" t="str">
            <v>112340.47 A 224680.93</v>
          </cell>
          <cell r="E395">
            <v>1000</v>
          </cell>
          <cell r="F395">
            <v>200</v>
          </cell>
          <cell r="G395">
            <v>158</v>
          </cell>
          <cell r="H395">
            <v>44802</v>
          </cell>
          <cell r="I395">
            <v>46072</v>
          </cell>
          <cell r="J395">
            <v>46063</v>
          </cell>
          <cell r="K395">
            <v>0.70640000000000003</v>
          </cell>
          <cell r="L395">
            <v>0.68579999999999997</v>
          </cell>
          <cell r="M395">
            <v>0.79</v>
          </cell>
          <cell r="N395">
            <v>41</v>
          </cell>
          <cell r="O395">
            <v>59</v>
          </cell>
          <cell r="P395">
            <v>37</v>
          </cell>
          <cell r="Q395">
            <v>135</v>
          </cell>
          <cell r="R395">
            <v>272</v>
          </cell>
          <cell r="S395">
            <v>1</v>
          </cell>
          <cell r="T395">
            <v>1</v>
          </cell>
          <cell r="U395">
            <v>7</v>
          </cell>
          <cell r="V395">
            <v>1</v>
          </cell>
          <cell r="W395">
            <v>10</v>
          </cell>
        </row>
        <row r="396">
          <cell r="A396">
            <v>46023</v>
          </cell>
          <cell r="B396">
            <v>10019</v>
          </cell>
          <cell r="C396" t="str">
            <v>Não</v>
          </cell>
          <cell r="D396" t="str">
            <v>113255.91 A 226511.82</v>
          </cell>
          <cell r="E396">
            <v>1000</v>
          </cell>
          <cell r="F396">
            <v>200</v>
          </cell>
          <cell r="G396">
            <v>159</v>
          </cell>
          <cell r="H396">
            <v>44832</v>
          </cell>
          <cell r="I396">
            <v>46072</v>
          </cell>
          <cell r="J396">
            <v>46063</v>
          </cell>
          <cell r="K396">
            <v>0.63949999999999996</v>
          </cell>
          <cell r="L396">
            <v>0.61150000000000004</v>
          </cell>
          <cell r="M396">
            <v>0.65339999999999998</v>
          </cell>
          <cell r="N396">
            <v>39</v>
          </cell>
          <cell r="O396">
            <v>48</v>
          </cell>
          <cell r="P396">
            <v>31</v>
          </cell>
          <cell r="Q396">
            <v>116</v>
          </cell>
          <cell r="R396">
            <v>234</v>
          </cell>
          <cell r="S396">
            <v>1</v>
          </cell>
          <cell r="T396">
            <v>1</v>
          </cell>
          <cell r="U396">
            <v>8</v>
          </cell>
          <cell r="V396">
            <v>1</v>
          </cell>
          <cell r="W396">
            <v>11</v>
          </cell>
        </row>
        <row r="397">
          <cell r="A397">
            <v>46023</v>
          </cell>
          <cell r="B397">
            <v>10020</v>
          </cell>
          <cell r="C397" t="str">
            <v>Sim</v>
          </cell>
          <cell r="D397" t="str">
            <v>509651.60 A 1019303.19</v>
          </cell>
          <cell r="E397">
            <v>1000</v>
          </cell>
          <cell r="F397">
            <v>200</v>
          </cell>
          <cell r="G397">
            <v>159</v>
          </cell>
          <cell r="H397">
            <v>44832</v>
          </cell>
          <cell r="I397">
            <v>46072</v>
          </cell>
          <cell r="J397">
            <v>46063</v>
          </cell>
          <cell r="K397">
            <v>0.75970000000000004</v>
          </cell>
          <cell r="L397">
            <v>0.71499999999999997</v>
          </cell>
          <cell r="M397">
            <v>0.79500000000000004</v>
          </cell>
          <cell r="N397">
            <v>41</v>
          </cell>
          <cell r="O397">
            <v>37</v>
          </cell>
          <cell r="P397">
            <v>35</v>
          </cell>
          <cell r="Q397">
            <v>163</v>
          </cell>
          <cell r="R397">
            <v>276</v>
          </cell>
          <cell r="S397">
            <v>1</v>
          </cell>
          <cell r="T397">
            <v>1</v>
          </cell>
          <cell r="U397">
            <v>14</v>
          </cell>
          <cell r="V397">
            <v>1</v>
          </cell>
          <cell r="W397">
            <v>17</v>
          </cell>
        </row>
        <row r="398">
          <cell r="A398">
            <v>46023</v>
          </cell>
          <cell r="B398">
            <v>10021</v>
          </cell>
          <cell r="C398" t="str">
            <v>Sim</v>
          </cell>
          <cell r="D398" t="str">
            <v>113255.91 A 226511.82</v>
          </cell>
          <cell r="E398">
            <v>2500</v>
          </cell>
          <cell r="F398">
            <v>200</v>
          </cell>
          <cell r="G398">
            <v>159</v>
          </cell>
          <cell r="H398">
            <v>44832</v>
          </cell>
          <cell r="I398">
            <v>46072</v>
          </cell>
          <cell r="J398">
            <v>46063</v>
          </cell>
          <cell r="K398">
            <v>0.72699999999999998</v>
          </cell>
          <cell r="L398">
            <v>0.7147</v>
          </cell>
          <cell r="M398">
            <v>0.78129999999999999</v>
          </cell>
          <cell r="N398">
            <v>40</v>
          </cell>
          <cell r="O398">
            <v>51</v>
          </cell>
          <cell r="P398">
            <v>38</v>
          </cell>
          <cell r="Q398">
            <v>549</v>
          </cell>
          <cell r="R398">
            <v>678</v>
          </cell>
          <cell r="S398">
            <v>1</v>
          </cell>
          <cell r="T398">
            <v>1</v>
          </cell>
          <cell r="U398">
            <v>29</v>
          </cell>
          <cell r="V398">
            <v>1</v>
          </cell>
          <cell r="W398">
            <v>32</v>
          </cell>
        </row>
        <row r="399">
          <cell r="A399">
            <v>46023</v>
          </cell>
          <cell r="B399">
            <v>10023</v>
          </cell>
          <cell r="C399" t="str">
            <v>Sim</v>
          </cell>
          <cell r="D399" t="str">
            <v>249163.01 A 453023.64</v>
          </cell>
          <cell r="E399">
            <v>2500</v>
          </cell>
          <cell r="F399">
            <v>200</v>
          </cell>
          <cell r="G399">
            <v>159</v>
          </cell>
          <cell r="H399">
            <v>44832</v>
          </cell>
          <cell r="I399">
            <v>46072</v>
          </cell>
          <cell r="J399">
            <v>46063</v>
          </cell>
          <cell r="K399">
            <v>0.72729999999999995</v>
          </cell>
          <cell r="L399">
            <v>0.68069999999999997</v>
          </cell>
          <cell r="M399">
            <v>0.79500000000000004</v>
          </cell>
          <cell r="N399">
            <v>40</v>
          </cell>
          <cell r="O399">
            <v>40</v>
          </cell>
          <cell r="P399">
            <v>40</v>
          </cell>
          <cell r="Q399">
            <v>578</v>
          </cell>
          <cell r="R399">
            <v>698</v>
          </cell>
          <cell r="S399">
            <v>1</v>
          </cell>
          <cell r="T399">
            <v>1</v>
          </cell>
          <cell r="U399">
            <v>32</v>
          </cell>
          <cell r="V399">
            <v>1</v>
          </cell>
          <cell r="W399">
            <v>35</v>
          </cell>
        </row>
        <row r="400">
          <cell r="A400">
            <v>46023</v>
          </cell>
          <cell r="B400">
            <v>10024</v>
          </cell>
          <cell r="C400" t="str">
            <v>Sim</v>
          </cell>
          <cell r="D400" t="str">
            <v>113427.37 A 226854.74</v>
          </cell>
          <cell r="E400">
            <v>2500</v>
          </cell>
          <cell r="F400">
            <v>200</v>
          </cell>
          <cell r="G400">
            <v>163</v>
          </cell>
          <cell r="H400">
            <v>44942</v>
          </cell>
          <cell r="I400">
            <v>46072</v>
          </cell>
          <cell r="J400">
            <v>46063</v>
          </cell>
          <cell r="K400">
            <v>0.73529999999999995</v>
          </cell>
          <cell r="L400">
            <v>0.72009999999999996</v>
          </cell>
          <cell r="M400">
            <v>0.76100000000000001</v>
          </cell>
          <cell r="N400">
            <v>36</v>
          </cell>
          <cell r="O400">
            <v>38</v>
          </cell>
          <cell r="P400">
            <v>35</v>
          </cell>
          <cell r="Q400">
            <v>428</v>
          </cell>
          <cell r="R400">
            <v>537</v>
          </cell>
          <cell r="S400">
            <v>1</v>
          </cell>
          <cell r="T400">
            <v>1</v>
          </cell>
          <cell r="U400">
            <v>26</v>
          </cell>
          <cell r="V400">
            <v>1</v>
          </cell>
          <cell r="W400">
            <v>29</v>
          </cell>
        </row>
        <row r="401">
          <cell r="A401">
            <v>46023</v>
          </cell>
          <cell r="B401">
            <v>10025</v>
          </cell>
          <cell r="C401" t="str">
            <v>Sim</v>
          </cell>
          <cell r="D401" t="str">
            <v>108721.27 A 217442.55</v>
          </cell>
          <cell r="E401">
            <v>2500</v>
          </cell>
          <cell r="F401">
            <v>200</v>
          </cell>
          <cell r="G401">
            <v>168</v>
          </cell>
          <cell r="H401">
            <v>45100</v>
          </cell>
          <cell r="I401">
            <v>46072</v>
          </cell>
          <cell r="J401">
            <v>46063</v>
          </cell>
          <cell r="K401">
            <v>0.76519999999999999</v>
          </cell>
          <cell r="L401">
            <v>0.71599999999999997</v>
          </cell>
          <cell r="M401">
            <v>0.84</v>
          </cell>
          <cell r="N401">
            <v>32</v>
          </cell>
          <cell r="O401">
            <v>33</v>
          </cell>
          <cell r="P401">
            <v>32</v>
          </cell>
          <cell r="Q401">
            <v>407</v>
          </cell>
          <cell r="R401">
            <v>504</v>
          </cell>
          <cell r="S401">
            <v>1</v>
          </cell>
          <cell r="T401">
            <v>1</v>
          </cell>
          <cell r="U401">
            <v>27</v>
          </cell>
          <cell r="V401">
            <v>1</v>
          </cell>
          <cell r="W401">
            <v>30</v>
          </cell>
        </row>
        <row r="402">
          <cell r="A402">
            <v>46023</v>
          </cell>
          <cell r="B402">
            <v>10026</v>
          </cell>
          <cell r="C402" t="str">
            <v>Não</v>
          </cell>
          <cell r="D402" t="str">
            <v>249412.85 A 453477.91</v>
          </cell>
          <cell r="E402">
            <v>2500</v>
          </cell>
          <cell r="F402">
            <v>200</v>
          </cell>
          <cell r="G402">
            <v>160</v>
          </cell>
          <cell r="H402">
            <v>44858</v>
          </cell>
          <cell r="I402">
            <v>46072</v>
          </cell>
          <cell r="J402">
            <v>46063</v>
          </cell>
          <cell r="K402">
            <v>0.71909999999999996</v>
          </cell>
          <cell r="L402">
            <v>0.11700000000000001</v>
          </cell>
          <cell r="M402">
            <v>0.8</v>
          </cell>
          <cell r="N402">
            <v>40</v>
          </cell>
          <cell r="O402">
            <v>40</v>
          </cell>
          <cell r="P402">
            <v>33</v>
          </cell>
          <cell r="Q402">
            <v>338</v>
          </cell>
          <cell r="R402">
            <v>451</v>
          </cell>
          <cell r="S402">
            <v>1</v>
          </cell>
          <cell r="T402">
            <v>1</v>
          </cell>
          <cell r="U402">
            <v>24</v>
          </cell>
          <cell r="V402">
            <v>1</v>
          </cell>
          <cell r="W402">
            <v>27</v>
          </cell>
        </row>
        <row r="403">
          <cell r="A403">
            <v>46023</v>
          </cell>
          <cell r="B403">
            <v>10027</v>
          </cell>
          <cell r="C403" t="str">
            <v>Sim</v>
          </cell>
          <cell r="D403" t="str">
            <v>514462.26 A 1028924.52</v>
          </cell>
          <cell r="E403">
            <v>2500</v>
          </cell>
          <cell r="F403">
            <v>200</v>
          </cell>
          <cell r="G403">
            <v>161</v>
          </cell>
          <cell r="H403">
            <v>44889</v>
          </cell>
          <cell r="I403">
            <v>46072</v>
          </cell>
          <cell r="J403">
            <v>46063</v>
          </cell>
          <cell r="K403">
            <v>0.78059999999999996</v>
          </cell>
          <cell r="L403">
            <v>0.75149999999999995</v>
          </cell>
          <cell r="M403">
            <v>0.80500000000000005</v>
          </cell>
          <cell r="N403">
            <v>37</v>
          </cell>
          <cell r="O403">
            <v>40</v>
          </cell>
          <cell r="P403">
            <v>37</v>
          </cell>
          <cell r="Q403">
            <v>584</v>
          </cell>
          <cell r="R403">
            <v>698</v>
          </cell>
          <cell r="S403">
            <v>1</v>
          </cell>
          <cell r="T403">
            <v>1</v>
          </cell>
          <cell r="U403">
            <v>30</v>
          </cell>
          <cell r="V403">
            <v>1</v>
          </cell>
          <cell r="W403">
            <v>33</v>
          </cell>
        </row>
        <row r="404">
          <cell r="A404">
            <v>46023</v>
          </cell>
          <cell r="B404">
            <v>10028</v>
          </cell>
          <cell r="C404" t="str">
            <v>Não</v>
          </cell>
          <cell r="D404" t="str">
            <v>108651.54 A 217303.08</v>
          </cell>
          <cell r="E404">
            <v>2500</v>
          </cell>
          <cell r="F404">
            <v>200</v>
          </cell>
          <cell r="G404">
            <v>164</v>
          </cell>
          <cell r="H404">
            <v>44973</v>
          </cell>
          <cell r="I404">
            <v>46072</v>
          </cell>
          <cell r="J404">
            <v>46063</v>
          </cell>
          <cell r="K404">
            <v>0.71020000000000005</v>
          </cell>
          <cell r="L404">
            <v>0.62</v>
          </cell>
          <cell r="M404">
            <v>0.82</v>
          </cell>
          <cell r="N404">
            <v>31</v>
          </cell>
          <cell r="O404">
            <v>39</v>
          </cell>
          <cell r="P404">
            <v>33</v>
          </cell>
          <cell r="Q404">
            <v>338</v>
          </cell>
          <cell r="R404">
            <v>441</v>
          </cell>
          <cell r="S404">
            <v>1</v>
          </cell>
          <cell r="T404">
            <v>1</v>
          </cell>
          <cell r="U404">
            <v>24</v>
          </cell>
          <cell r="V404">
            <v>1</v>
          </cell>
          <cell r="W404">
            <v>27</v>
          </cell>
        </row>
        <row r="405">
          <cell r="A405">
            <v>46023</v>
          </cell>
          <cell r="B405">
            <v>10029</v>
          </cell>
          <cell r="C405" t="str">
            <v>Não</v>
          </cell>
          <cell r="D405" t="str">
            <v>54458.06 A 98024.52</v>
          </cell>
          <cell r="E405">
            <v>2500</v>
          </cell>
          <cell r="F405">
            <v>200</v>
          </cell>
          <cell r="G405">
            <v>166</v>
          </cell>
          <cell r="H405">
            <v>45034</v>
          </cell>
          <cell r="I405">
            <v>46072</v>
          </cell>
          <cell r="J405">
            <v>46063</v>
          </cell>
          <cell r="K405">
            <v>0.55920000000000003</v>
          </cell>
          <cell r="L405">
            <v>0.56000000000000005</v>
          </cell>
          <cell r="M405">
            <v>0.7</v>
          </cell>
          <cell r="N405">
            <v>31</v>
          </cell>
          <cell r="O405">
            <v>34</v>
          </cell>
          <cell r="P405">
            <v>26</v>
          </cell>
          <cell r="Q405">
            <v>192</v>
          </cell>
          <cell r="R405">
            <v>283</v>
          </cell>
          <cell r="S405">
            <v>1</v>
          </cell>
          <cell r="T405">
            <v>1</v>
          </cell>
          <cell r="U405">
            <v>20</v>
          </cell>
          <cell r="V405">
            <v>1</v>
          </cell>
          <cell r="W405">
            <v>23</v>
          </cell>
        </row>
        <row r="406">
          <cell r="A406">
            <v>46023</v>
          </cell>
          <cell r="B406">
            <v>10030</v>
          </cell>
          <cell r="C406" t="str">
            <v>Sim</v>
          </cell>
          <cell r="D406" t="str">
            <v>239186.80 A 434885.09</v>
          </cell>
          <cell r="E406">
            <v>2500</v>
          </cell>
          <cell r="F406">
            <v>200</v>
          </cell>
          <cell r="G406">
            <v>168</v>
          </cell>
          <cell r="H406">
            <v>45100</v>
          </cell>
          <cell r="I406">
            <v>46072</v>
          </cell>
          <cell r="J406">
            <v>46063</v>
          </cell>
          <cell r="K406">
            <v>0.75190000000000001</v>
          </cell>
          <cell r="L406">
            <v>0.69440000000000002</v>
          </cell>
          <cell r="M406">
            <v>0.82</v>
          </cell>
          <cell r="N406">
            <v>31</v>
          </cell>
          <cell r="O406">
            <v>32</v>
          </cell>
          <cell r="P406">
            <v>31</v>
          </cell>
          <cell r="Q406">
            <v>396</v>
          </cell>
          <cell r="R406">
            <v>490</v>
          </cell>
          <cell r="S406">
            <v>1</v>
          </cell>
          <cell r="T406">
            <v>1</v>
          </cell>
          <cell r="U406">
            <v>37</v>
          </cell>
          <cell r="V406">
            <v>1</v>
          </cell>
          <cell r="W406">
            <v>40</v>
          </cell>
        </row>
        <row r="407">
          <cell r="A407">
            <v>46023</v>
          </cell>
          <cell r="B407">
            <v>10031</v>
          </cell>
          <cell r="C407" t="str">
            <v>Sim</v>
          </cell>
          <cell r="D407" t="str">
            <v>489197.24 A 978394.48</v>
          </cell>
          <cell r="E407">
            <v>2500</v>
          </cell>
          <cell r="F407">
            <v>200</v>
          </cell>
          <cell r="G407">
            <v>169</v>
          </cell>
          <cell r="H407">
            <v>45125</v>
          </cell>
          <cell r="I407">
            <v>46072</v>
          </cell>
          <cell r="J407">
            <v>46063</v>
          </cell>
          <cell r="K407">
            <v>0.74419999999999997</v>
          </cell>
          <cell r="L407">
            <v>0.68</v>
          </cell>
          <cell r="M407">
            <v>0.8</v>
          </cell>
          <cell r="N407">
            <v>31</v>
          </cell>
          <cell r="O407">
            <v>30</v>
          </cell>
          <cell r="P407">
            <v>30</v>
          </cell>
          <cell r="Q407">
            <v>437</v>
          </cell>
          <cell r="R407">
            <v>528</v>
          </cell>
          <cell r="S407">
            <v>1</v>
          </cell>
          <cell r="T407">
            <v>1</v>
          </cell>
          <cell r="U407">
            <v>43</v>
          </cell>
          <cell r="V407">
            <v>1</v>
          </cell>
          <cell r="W407">
            <v>46</v>
          </cell>
        </row>
        <row r="408">
          <cell r="A408">
            <v>46023</v>
          </cell>
          <cell r="B408">
            <v>10032</v>
          </cell>
          <cell r="C408" t="str">
            <v>Não</v>
          </cell>
          <cell r="D408" t="str">
            <v>54698.52 A 98457.34</v>
          </cell>
          <cell r="E408">
            <v>2500</v>
          </cell>
          <cell r="F408">
            <v>240</v>
          </cell>
          <cell r="G408">
            <v>211</v>
          </cell>
          <cell r="H408">
            <v>45197</v>
          </cell>
          <cell r="I408">
            <v>46072</v>
          </cell>
          <cell r="J408">
            <v>46063</v>
          </cell>
          <cell r="K408">
            <v>0.49959999999999999</v>
          </cell>
          <cell r="L408">
            <v>0.45850000000000002</v>
          </cell>
          <cell r="M408">
            <v>0.87919999999999998</v>
          </cell>
          <cell r="N408">
            <v>27</v>
          </cell>
          <cell r="O408">
            <v>31</v>
          </cell>
          <cell r="P408">
            <v>19</v>
          </cell>
          <cell r="Q408">
            <v>132</v>
          </cell>
          <cell r="R408">
            <v>209</v>
          </cell>
          <cell r="S408">
            <v>1</v>
          </cell>
          <cell r="T408">
            <v>1</v>
          </cell>
          <cell r="U408">
            <v>12</v>
          </cell>
          <cell r="V408">
            <v>1</v>
          </cell>
          <cell r="W408">
            <v>15</v>
          </cell>
        </row>
        <row r="409">
          <cell r="A409">
            <v>46023</v>
          </cell>
          <cell r="B409">
            <v>10033</v>
          </cell>
          <cell r="C409" t="str">
            <v>Não</v>
          </cell>
          <cell r="D409" t="str">
            <v>109397.04 A 218794.08</v>
          </cell>
          <cell r="E409">
            <v>2500</v>
          </cell>
          <cell r="F409">
            <v>240</v>
          </cell>
          <cell r="G409">
            <v>211</v>
          </cell>
          <cell r="H409">
            <v>45188</v>
          </cell>
          <cell r="I409">
            <v>46072</v>
          </cell>
          <cell r="J409">
            <v>46063</v>
          </cell>
          <cell r="K409">
            <v>0.55059999999999998</v>
          </cell>
          <cell r="L409">
            <v>0.54</v>
          </cell>
          <cell r="M409">
            <v>0.68559999999999999</v>
          </cell>
          <cell r="N409">
            <v>28</v>
          </cell>
          <cell r="O409">
            <v>29</v>
          </cell>
          <cell r="P409">
            <v>26</v>
          </cell>
          <cell r="Q409">
            <v>179</v>
          </cell>
          <cell r="R409">
            <v>262</v>
          </cell>
          <cell r="S409">
            <v>1</v>
          </cell>
          <cell r="T409">
            <v>1</v>
          </cell>
          <cell r="U409">
            <v>14</v>
          </cell>
          <cell r="V409">
            <v>1</v>
          </cell>
          <cell r="W409">
            <v>17</v>
          </cell>
        </row>
        <row r="410">
          <cell r="A410">
            <v>46023</v>
          </cell>
          <cell r="B410">
            <v>10034</v>
          </cell>
          <cell r="C410" t="str">
            <v>Sim</v>
          </cell>
          <cell r="D410" t="str">
            <v>109397.04 A 218794.08</v>
          </cell>
          <cell r="E410">
            <v>2500</v>
          </cell>
          <cell r="F410">
            <v>200</v>
          </cell>
          <cell r="G410">
            <v>171</v>
          </cell>
          <cell r="H410">
            <v>45188</v>
          </cell>
          <cell r="I410">
            <v>46072</v>
          </cell>
          <cell r="J410">
            <v>46063</v>
          </cell>
          <cell r="K410">
            <v>0.78200000000000003</v>
          </cell>
          <cell r="L410">
            <v>0.77129999999999999</v>
          </cell>
          <cell r="M410">
            <v>0.84550000000000003</v>
          </cell>
          <cell r="N410">
            <v>29</v>
          </cell>
          <cell r="O410">
            <v>29</v>
          </cell>
          <cell r="P410">
            <v>28</v>
          </cell>
          <cell r="Q410">
            <v>324</v>
          </cell>
          <cell r="R410">
            <v>410</v>
          </cell>
          <cell r="S410">
            <v>1</v>
          </cell>
          <cell r="T410">
            <v>1</v>
          </cell>
          <cell r="U410">
            <v>22</v>
          </cell>
          <cell r="V410">
            <v>1</v>
          </cell>
          <cell r="W410">
            <v>25</v>
          </cell>
        </row>
        <row r="411">
          <cell r="A411">
            <v>46023</v>
          </cell>
          <cell r="B411">
            <v>10035</v>
          </cell>
          <cell r="C411" t="str">
            <v>Sim</v>
          </cell>
          <cell r="D411" t="str">
            <v>491837.72 A 983675.44</v>
          </cell>
          <cell r="E411">
            <v>2500</v>
          </cell>
          <cell r="F411">
            <v>200</v>
          </cell>
          <cell r="G411">
            <v>174</v>
          </cell>
          <cell r="H411">
            <v>45286</v>
          </cell>
          <cell r="I411">
            <v>46072</v>
          </cell>
          <cell r="J411">
            <v>46063</v>
          </cell>
          <cell r="K411">
            <v>0.78420000000000001</v>
          </cell>
          <cell r="L411">
            <v>0.75</v>
          </cell>
          <cell r="M411">
            <v>0.81430000000000002</v>
          </cell>
          <cell r="N411">
            <v>26</v>
          </cell>
          <cell r="O411">
            <v>24</v>
          </cell>
          <cell r="P411">
            <v>24</v>
          </cell>
          <cell r="Q411">
            <v>295</v>
          </cell>
          <cell r="R411">
            <v>369</v>
          </cell>
          <cell r="S411">
            <v>1</v>
          </cell>
          <cell r="T411">
            <v>1</v>
          </cell>
          <cell r="U411">
            <v>25</v>
          </cell>
          <cell r="V411">
            <v>1</v>
          </cell>
          <cell r="W411">
            <v>28</v>
          </cell>
        </row>
        <row r="412">
          <cell r="A412">
            <v>46023</v>
          </cell>
          <cell r="B412">
            <v>10036</v>
          </cell>
          <cell r="C412" t="str">
            <v>Sim</v>
          </cell>
          <cell r="D412" t="str">
            <v>229183.02 A 416696.40</v>
          </cell>
          <cell r="E412">
            <v>2500</v>
          </cell>
          <cell r="F412">
            <v>200</v>
          </cell>
          <cell r="G412">
            <v>177</v>
          </cell>
          <cell r="H412">
            <v>45369</v>
          </cell>
          <cell r="I412">
            <v>46072</v>
          </cell>
          <cell r="J412">
            <v>46063</v>
          </cell>
          <cell r="K412">
            <v>0.83630000000000004</v>
          </cell>
          <cell r="L412">
            <v>0.79300000000000004</v>
          </cell>
          <cell r="M412">
            <v>0.88500000000000001</v>
          </cell>
          <cell r="N412">
            <v>23</v>
          </cell>
          <cell r="O412">
            <v>24</v>
          </cell>
          <cell r="P412">
            <v>23</v>
          </cell>
          <cell r="Q412">
            <v>225</v>
          </cell>
          <cell r="R412">
            <v>295</v>
          </cell>
          <cell r="S412">
            <v>1</v>
          </cell>
          <cell r="T412">
            <v>1</v>
          </cell>
          <cell r="U412">
            <v>24</v>
          </cell>
          <cell r="V412">
            <v>1</v>
          </cell>
          <cell r="W412">
            <v>27</v>
          </cell>
        </row>
        <row r="413">
          <cell r="A413">
            <v>46023</v>
          </cell>
          <cell r="B413">
            <v>10037</v>
          </cell>
          <cell r="C413" t="str">
            <v>Sim</v>
          </cell>
          <cell r="D413" t="str">
            <v>104866.50 A 209733.00</v>
          </cell>
          <cell r="E413">
            <v>2500</v>
          </cell>
          <cell r="F413">
            <v>200</v>
          </cell>
          <cell r="G413">
            <v>178</v>
          </cell>
          <cell r="H413">
            <v>45398</v>
          </cell>
          <cell r="I413">
            <v>46072</v>
          </cell>
          <cell r="J413">
            <v>46063</v>
          </cell>
          <cell r="K413">
            <v>0.80530000000000002</v>
          </cell>
          <cell r="L413">
            <v>0.75</v>
          </cell>
          <cell r="M413">
            <v>0.83</v>
          </cell>
          <cell r="N413">
            <v>21</v>
          </cell>
          <cell r="O413">
            <v>23</v>
          </cell>
          <cell r="P413">
            <v>22</v>
          </cell>
          <cell r="Q413">
            <v>207</v>
          </cell>
          <cell r="R413">
            <v>273</v>
          </cell>
          <cell r="S413">
            <v>1</v>
          </cell>
          <cell r="T413">
            <v>1</v>
          </cell>
          <cell r="U413">
            <v>24</v>
          </cell>
          <cell r="V413">
            <v>1</v>
          </cell>
          <cell r="W413">
            <v>27</v>
          </cell>
        </row>
        <row r="414">
          <cell r="A414">
            <v>46023</v>
          </cell>
          <cell r="B414">
            <v>10038</v>
          </cell>
          <cell r="C414" t="str">
            <v>Não</v>
          </cell>
          <cell r="D414" t="str">
            <v>105316.70 A 210633.40</v>
          </cell>
          <cell r="E414">
            <v>2500</v>
          </cell>
          <cell r="F414">
            <v>200</v>
          </cell>
          <cell r="G414">
            <v>180</v>
          </cell>
          <cell r="H414">
            <v>45460</v>
          </cell>
          <cell r="I414">
            <v>46072</v>
          </cell>
          <cell r="J414">
            <v>46063</v>
          </cell>
          <cell r="K414">
            <v>0.68579999999999997</v>
          </cell>
          <cell r="L414">
            <v>0.71</v>
          </cell>
          <cell r="M414">
            <v>0.75960000000000005</v>
          </cell>
          <cell r="N414">
            <v>20</v>
          </cell>
          <cell r="O414">
            <v>19</v>
          </cell>
          <cell r="P414">
            <v>18</v>
          </cell>
          <cell r="Q414">
            <v>87</v>
          </cell>
          <cell r="R414">
            <v>144</v>
          </cell>
          <cell r="S414">
            <v>1</v>
          </cell>
          <cell r="T414">
            <v>1</v>
          </cell>
          <cell r="U414">
            <v>16</v>
          </cell>
          <cell r="V414">
            <v>1</v>
          </cell>
          <cell r="W414">
            <v>19</v>
          </cell>
        </row>
        <row r="415">
          <cell r="A415">
            <v>46023</v>
          </cell>
          <cell r="B415">
            <v>10039</v>
          </cell>
          <cell r="C415" t="str">
            <v>Sim</v>
          </cell>
          <cell r="D415" t="str">
            <v>105180.43 A 210360.86</v>
          </cell>
          <cell r="E415">
            <v>2500</v>
          </cell>
          <cell r="F415">
            <v>200</v>
          </cell>
          <cell r="G415">
            <v>182</v>
          </cell>
          <cell r="H415">
            <v>45525</v>
          </cell>
          <cell r="I415">
            <v>46072</v>
          </cell>
          <cell r="J415">
            <v>46063</v>
          </cell>
          <cell r="K415">
            <v>0.80069999999999997</v>
          </cell>
          <cell r="L415">
            <v>0.80520000000000003</v>
          </cell>
          <cell r="M415">
            <v>0.83</v>
          </cell>
          <cell r="N415">
            <v>18</v>
          </cell>
          <cell r="O415">
            <v>18</v>
          </cell>
          <cell r="P415">
            <v>17</v>
          </cell>
          <cell r="Q415">
            <v>170</v>
          </cell>
          <cell r="R415">
            <v>223</v>
          </cell>
          <cell r="S415">
            <v>1</v>
          </cell>
          <cell r="T415">
            <v>1</v>
          </cell>
          <cell r="U415">
            <v>21</v>
          </cell>
          <cell r="V415">
            <v>1</v>
          </cell>
          <cell r="W415">
            <v>24</v>
          </cell>
        </row>
        <row r="416">
          <cell r="A416">
            <v>46023</v>
          </cell>
          <cell r="B416">
            <v>10040</v>
          </cell>
          <cell r="C416" t="str">
            <v>Sim</v>
          </cell>
          <cell r="D416" t="str">
            <v>473075.55 A 946151.10</v>
          </cell>
          <cell r="E416">
            <v>2500</v>
          </cell>
          <cell r="F416">
            <v>200</v>
          </cell>
          <cell r="G416">
            <v>183</v>
          </cell>
          <cell r="H416">
            <v>45551</v>
          </cell>
          <cell r="I416">
            <v>46072</v>
          </cell>
          <cell r="J416">
            <v>46063</v>
          </cell>
          <cell r="K416">
            <v>0.77149999999999996</v>
          </cell>
          <cell r="L416">
            <v>0.75109999999999999</v>
          </cell>
          <cell r="M416">
            <v>0.82689999999999997</v>
          </cell>
          <cell r="N416">
            <v>17</v>
          </cell>
          <cell r="O416">
            <v>17</v>
          </cell>
          <cell r="P416">
            <v>17</v>
          </cell>
          <cell r="Q416">
            <v>142</v>
          </cell>
          <cell r="R416">
            <v>193</v>
          </cell>
          <cell r="S416">
            <v>1</v>
          </cell>
          <cell r="T416">
            <v>1</v>
          </cell>
          <cell r="U416">
            <v>22</v>
          </cell>
          <cell r="V416">
            <v>1</v>
          </cell>
          <cell r="W416">
            <v>25</v>
          </cell>
        </row>
        <row r="417">
          <cell r="A417">
            <v>46023</v>
          </cell>
          <cell r="B417">
            <v>10041</v>
          </cell>
          <cell r="C417" t="str">
            <v>Sim</v>
          </cell>
          <cell r="D417" t="str">
            <v>231119.24 A 420216.80</v>
          </cell>
          <cell r="E417">
            <v>2500</v>
          </cell>
          <cell r="F417">
            <v>200</v>
          </cell>
          <cell r="G417">
            <v>184</v>
          </cell>
          <cell r="H417">
            <v>45581</v>
          </cell>
          <cell r="I417">
            <v>46072</v>
          </cell>
          <cell r="J417">
            <v>46063</v>
          </cell>
          <cell r="K417">
            <v>0.82279999999999998</v>
          </cell>
          <cell r="L417">
            <v>0.8</v>
          </cell>
          <cell r="M417">
            <v>0.92</v>
          </cell>
          <cell r="N417">
            <v>16</v>
          </cell>
          <cell r="O417">
            <v>15</v>
          </cell>
          <cell r="P417">
            <v>12</v>
          </cell>
          <cell r="Q417">
            <v>75</v>
          </cell>
          <cell r="R417">
            <v>118</v>
          </cell>
          <cell r="S417">
            <v>1</v>
          </cell>
          <cell r="T417">
            <v>1</v>
          </cell>
          <cell r="U417">
            <v>18</v>
          </cell>
          <cell r="V417">
            <v>1</v>
          </cell>
          <cell r="W417">
            <v>21</v>
          </cell>
        </row>
        <row r="418">
          <cell r="A418">
            <v>46023</v>
          </cell>
          <cell r="B418">
            <v>10042</v>
          </cell>
          <cell r="C418" t="str">
            <v>Não</v>
          </cell>
          <cell r="D418" t="str">
            <v>104490.20 A 208980.40</v>
          </cell>
          <cell r="E418">
            <v>2500</v>
          </cell>
          <cell r="F418">
            <v>240</v>
          </cell>
          <cell r="G418">
            <v>226</v>
          </cell>
          <cell r="H418">
            <v>45642</v>
          </cell>
          <cell r="I418">
            <v>46072</v>
          </cell>
          <cell r="J418">
            <v>46063</v>
          </cell>
          <cell r="K418">
            <v>0.6653</v>
          </cell>
          <cell r="L418">
            <v>0.53969999999999996</v>
          </cell>
          <cell r="M418">
            <v>0.71</v>
          </cell>
          <cell r="N418">
            <v>13</v>
          </cell>
          <cell r="O418">
            <v>14</v>
          </cell>
          <cell r="P418">
            <v>12</v>
          </cell>
          <cell r="Q418">
            <v>111</v>
          </cell>
          <cell r="R418">
            <v>150</v>
          </cell>
          <cell r="S418">
            <v>1</v>
          </cell>
          <cell r="T418">
            <v>1</v>
          </cell>
          <cell r="U418">
            <v>17</v>
          </cell>
          <cell r="V418">
            <v>1</v>
          </cell>
          <cell r="W418">
            <v>20</v>
          </cell>
        </row>
        <row r="419">
          <cell r="A419">
            <v>46023</v>
          </cell>
          <cell r="B419">
            <v>10043</v>
          </cell>
          <cell r="C419" t="str">
            <v>Não</v>
          </cell>
          <cell r="D419" t="str">
            <v>47020.59 A 94041.18</v>
          </cell>
          <cell r="E419">
            <v>2500</v>
          </cell>
          <cell r="F419">
            <v>200</v>
          </cell>
          <cell r="G419">
            <v>186</v>
          </cell>
          <cell r="H419">
            <v>45642</v>
          </cell>
          <cell r="I419">
            <v>46072</v>
          </cell>
          <cell r="J419">
            <v>46063</v>
          </cell>
          <cell r="K419">
            <v>0.67079999999999995</v>
          </cell>
          <cell r="L419">
            <v>0.7</v>
          </cell>
          <cell r="M419">
            <v>0.7</v>
          </cell>
          <cell r="N419">
            <v>14</v>
          </cell>
          <cell r="O419">
            <v>13</v>
          </cell>
          <cell r="P419">
            <v>12</v>
          </cell>
          <cell r="Q419">
            <v>50</v>
          </cell>
          <cell r="R419">
            <v>89</v>
          </cell>
          <cell r="S419">
            <v>1</v>
          </cell>
          <cell r="T419">
            <v>1</v>
          </cell>
          <cell r="U419">
            <v>6</v>
          </cell>
          <cell r="V419">
            <v>1</v>
          </cell>
          <cell r="W419">
            <v>9</v>
          </cell>
        </row>
        <row r="420">
          <cell r="A420">
            <v>46023</v>
          </cell>
          <cell r="B420">
            <v>10044</v>
          </cell>
          <cell r="C420" t="str">
            <v>Não</v>
          </cell>
          <cell r="D420" t="str">
            <v>104490.20 A 208980.40</v>
          </cell>
          <cell r="E420">
            <v>2500</v>
          </cell>
          <cell r="F420">
            <v>200</v>
          </cell>
          <cell r="G420">
            <v>186</v>
          </cell>
          <cell r="H420">
            <v>45642</v>
          </cell>
          <cell r="I420">
            <v>46072</v>
          </cell>
          <cell r="J420">
            <v>46063</v>
          </cell>
          <cell r="K420">
            <v>0.70960000000000001</v>
          </cell>
          <cell r="L420">
            <v>0.67789999999999995</v>
          </cell>
          <cell r="M420">
            <v>0.75900000000000001</v>
          </cell>
          <cell r="N420">
            <v>14</v>
          </cell>
          <cell r="O420">
            <v>12</v>
          </cell>
          <cell r="P420">
            <v>14</v>
          </cell>
          <cell r="Q420">
            <v>47</v>
          </cell>
          <cell r="R420">
            <v>87</v>
          </cell>
          <cell r="S420">
            <v>1</v>
          </cell>
          <cell r="T420">
            <v>1</v>
          </cell>
          <cell r="U420">
            <v>11</v>
          </cell>
          <cell r="V420">
            <v>1</v>
          </cell>
          <cell r="W420">
            <v>14</v>
          </cell>
        </row>
        <row r="421">
          <cell r="A421">
            <v>46023</v>
          </cell>
          <cell r="B421">
            <v>10045</v>
          </cell>
          <cell r="C421" t="str">
            <v>Não</v>
          </cell>
          <cell r="D421" t="str">
            <v>208980.40 A 417960.80</v>
          </cell>
          <cell r="E421">
            <v>2500</v>
          </cell>
          <cell r="F421">
            <v>200</v>
          </cell>
          <cell r="G421">
            <v>186</v>
          </cell>
          <cell r="H421">
            <v>45642</v>
          </cell>
          <cell r="I421">
            <v>46072</v>
          </cell>
          <cell r="J421">
            <v>46063</v>
          </cell>
          <cell r="K421">
            <v>0.71409999999999996</v>
          </cell>
          <cell r="L421">
            <v>0.70369999999999999</v>
          </cell>
          <cell r="M421">
            <v>0.76</v>
          </cell>
          <cell r="N421">
            <v>14</v>
          </cell>
          <cell r="O421">
            <v>13</v>
          </cell>
          <cell r="P421">
            <v>11</v>
          </cell>
          <cell r="Q421">
            <v>38</v>
          </cell>
          <cell r="R421">
            <v>76</v>
          </cell>
          <cell r="S421">
            <v>1</v>
          </cell>
          <cell r="T421">
            <v>1</v>
          </cell>
          <cell r="U421">
            <v>11</v>
          </cell>
          <cell r="V421">
            <v>1</v>
          </cell>
          <cell r="W421">
            <v>14</v>
          </cell>
        </row>
        <row r="422">
          <cell r="A422">
            <v>46023</v>
          </cell>
          <cell r="B422">
            <v>10046</v>
          </cell>
          <cell r="C422" t="str">
            <v>Sim</v>
          </cell>
          <cell r="D422" t="str">
            <v>104490.20 A 208980.40</v>
          </cell>
          <cell r="E422">
            <v>2500</v>
          </cell>
          <cell r="F422">
            <v>200</v>
          </cell>
          <cell r="G422">
            <v>186</v>
          </cell>
          <cell r="H422">
            <v>45642</v>
          </cell>
          <cell r="I422">
            <v>46072</v>
          </cell>
          <cell r="J422">
            <v>46063</v>
          </cell>
          <cell r="K422">
            <v>0.77339999999999998</v>
          </cell>
          <cell r="L422">
            <v>0.74760000000000004</v>
          </cell>
          <cell r="M422">
            <v>0.85</v>
          </cell>
          <cell r="N422">
            <v>14</v>
          </cell>
          <cell r="O422">
            <v>14</v>
          </cell>
          <cell r="P422">
            <v>14</v>
          </cell>
          <cell r="Q422">
            <v>101</v>
          </cell>
          <cell r="R422">
            <v>143</v>
          </cell>
          <cell r="S422">
            <v>1</v>
          </cell>
          <cell r="T422">
            <v>1</v>
          </cell>
          <cell r="U422">
            <v>20</v>
          </cell>
          <cell r="V422">
            <v>1</v>
          </cell>
          <cell r="W422">
            <v>23</v>
          </cell>
        </row>
        <row r="423">
          <cell r="A423">
            <v>46023</v>
          </cell>
          <cell r="B423">
            <v>10047</v>
          </cell>
          <cell r="C423" t="str">
            <v>Sim</v>
          </cell>
          <cell r="D423" t="str">
            <v>208980.40 A 417960.80</v>
          </cell>
          <cell r="E423">
            <v>2500</v>
          </cell>
          <cell r="F423">
            <v>200</v>
          </cell>
          <cell r="G423">
            <v>186</v>
          </cell>
          <cell r="H423">
            <v>45642</v>
          </cell>
          <cell r="I423">
            <v>46072</v>
          </cell>
          <cell r="J423">
            <v>46063</v>
          </cell>
          <cell r="K423">
            <v>0.78849999999999998</v>
          </cell>
          <cell r="L423">
            <v>0.76</v>
          </cell>
          <cell r="M423">
            <v>0.81</v>
          </cell>
          <cell r="N423">
            <v>14</v>
          </cell>
          <cell r="O423">
            <v>13</v>
          </cell>
          <cell r="P423">
            <v>14</v>
          </cell>
          <cell r="Q423">
            <v>99</v>
          </cell>
          <cell r="R423">
            <v>140</v>
          </cell>
          <cell r="S423">
            <v>1</v>
          </cell>
          <cell r="T423">
            <v>1</v>
          </cell>
          <cell r="U423">
            <v>20</v>
          </cell>
          <cell r="V423">
            <v>1</v>
          </cell>
          <cell r="W423">
            <v>23</v>
          </cell>
        </row>
        <row r="424">
          <cell r="A424">
            <v>46023</v>
          </cell>
          <cell r="B424">
            <v>10048</v>
          </cell>
          <cell r="C424" t="str">
            <v>Sim</v>
          </cell>
          <cell r="D424" t="str">
            <v>470205.90 A 940411.80</v>
          </cell>
          <cell r="E424">
            <v>2500</v>
          </cell>
          <cell r="F424">
            <v>200</v>
          </cell>
          <cell r="G424">
            <v>186</v>
          </cell>
          <cell r="H424">
            <v>45642</v>
          </cell>
          <cell r="I424">
            <v>46072</v>
          </cell>
          <cell r="J424">
            <v>46063</v>
          </cell>
          <cell r="K424">
            <v>0.79100000000000004</v>
          </cell>
          <cell r="L424">
            <v>0.75</v>
          </cell>
          <cell r="M424">
            <v>0.81030000000000002</v>
          </cell>
          <cell r="N424">
            <v>14</v>
          </cell>
          <cell r="O424">
            <v>14</v>
          </cell>
          <cell r="P424">
            <v>14</v>
          </cell>
          <cell r="Q424">
            <v>123</v>
          </cell>
          <cell r="R424">
            <v>165</v>
          </cell>
          <cell r="S424">
            <v>1</v>
          </cell>
          <cell r="T424">
            <v>1</v>
          </cell>
          <cell r="U424">
            <v>21</v>
          </cell>
          <cell r="V424">
            <v>1</v>
          </cell>
          <cell r="W424">
            <v>24</v>
          </cell>
        </row>
        <row r="425">
          <cell r="A425">
            <v>46023</v>
          </cell>
          <cell r="B425">
            <v>10049</v>
          </cell>
          <cell r="C425" t="str">
            <v>Sim</v>
          </cell>
          <cell r="D425" t="str">
            <v>104177.80 A 208355.60</v>
          </cell>
          <cell r="E425">
            <v>2500</v>
          </cell>
          <cell r="F425">
            <v>200</v>
          </cell>
          <cell r="G425">
            <v>187</v>
          </cell>
          <cell r="H425">
            <v>45673</v>
          </cell>
          <cell r="I425">
            <v>46072</v>
          </cell>
          <cell r="J425">
            <v>46063</v>
          </cell>
          <cell r="K425">
            <v>0.80089999999999995</v>
          </cell>
          <cell r="L425">
            <v>0.78069999999999995</v>
          </cell>
          <cell r="M425">
            <v>0.81</v>
          </cell>
          <cell r="N425">
            <v>13</v>
          </cell>
          <cell r="O425">
            <v>11</v>
          </cell>
          <cell r="P425">
            <v>13</v>
          </cell>
          <cell r="Q425">
            <v>94</v>
          </cell>
          <cell r="R425">
            <v>131</v>
          </cell>
          <cell r="S425">
            <v>1</v>
          </cell>
          <cell r="T425">
            <v>1</v>
          </cell>
          <cell r="U425">
            <v>14</v>
          </cell>
          <cell r="V425">
            <v>1</v>
          </cell>
          <cell r="W425">
            <v>17</v>
          </cell>
        </row>
        <row r="426">
          <cell r="A426">
            <v>46023</v>
          </cell>
          <cell r="B426">
            <v>10050</v>
          </cell>
          <cell r="C426" t="str">
            <v>Sim</v>
          </cell>
          <cell r="D426" t="str">
            <v>450000.00 A 900000.00</v>
          </cell>
          <cell r="E426">
            <v>2500</v>
          </cell>
          <cell r="F426">
            <v>200</v>
          </cell>
          <cell r="G426">
            <v>189</v>
          </cell>
          <cell r="H426">
            <v>45729</v>
          </cell>
          <cell r="I426">
            <v>46072</v>
          </cell>
          <cell r="J426">
            <v>46063</v>
          </cell>
          <cell r="K426">
            <v>0.80569999999999997</v>
          </cell>
          <cell r="L426">
            <v>0.76500000000000001</v>
          </cell>
          <cell r="M426">
            <v>0.82</v>
          </cell>
          <cell r="N426">
            <v>11</v>
          </cell>
          <cell r="O426">
            <v>10</v>
          </cell>
          <cell r="P426">
            <v>11</v>
          </cell>
          <cell r="Q426">
            <v>73</v>
          </cell>
          <cell r="R426">
            <v>105</v>
          </cell>
          <cell r="S426">
            <v>1</v>
          </cell>
          <cell r="T426">
            <v>1</v>
          </cell>
          <cell r="U426">
            <v>9</v>
          </cell>
          <cell r="V426">
            <v>1</v>
          </cell>
          <cell r="W426">
            <v>12</v>
          </cell>
        </row>
        <row r="427">
          <cell r="A427">
            <v>46023</v>
          </cell>
          <cell r="B427">
            <v>10051</v>
          </cell>
          <cell r="C427" t="str">
            <v>Sim</v>
          </cell>
          <cell r="D427" t="str">
            <v>100000.00 A 200000.00</v>
          </cell>
          <cell r="E427">
            <v>2500</v>
          </cell>
          <cell r="F427">
            <v>200</v>
          </cell>
          <cell r="G427">
            <v>190</v>
          </cell>
          <cell r="H427">
            <v>45763</v>
          </cell>
          <cell r="I427">
            <v>46072</v>
          </cell>
          <cell r="J427">
            <v>46063</v>
          </cell>
          <cell r="K427">
            <v>0.76700000000000002</v>
          </cell>
          <cell r="L427">
            <v>0.77</v>
          </cell>
          <cell r="M427">
            <v>0.8</v>
          </cell>
          <cell r="N427">
            <v>10</v>
          </cell>
          <cell r="O427">
            <v>9</v>
          </cell>
          <cell r="P427">
            <v>10</v>
          </cell>
          <cell r="Q427">
            <v>50</v>
          </cell>
          <cell r="R427">
            <v>79</v>
          </cell>
          <cell r="S427">
            <v>1</v>
          </cell>
          <cell r="T427">
            <v>1</v>
          </cell>
          <cell r="U427">
            <v>7</v>
          </cell>
          <cell r="V427">
            <v>1</v>
          </cell>
          <cell r="W427">
            <v>10</v>
          </cell>
        </row>
        <row r="428">
          <cell r="A428">
            <v>46023</v>
          </cell>
          <cell r="B428">
            <v>10052</v>
          </cell>
          <cell r="C428" t="str">
            <v>Sim</v>
          </cell>
          <cell r="D428" t="str">
            <v>200000.00 A 400000.00</v>
          </cell>
          <cell r="E428">
            <v>2500</v>
          </cell>
          <cell r="F428">
            <v>200</v>
          </cell>
          <cell r="G428">
            <v>191</v>
          </cell>
          <cell r="H428">
            <v>45792</v>
          </cell>
          <cell r="I428">
            <v>46072</v>
          </cell>
          <cell r="J428">
            <v>46063</v>
          </cell>
          <cell r="K428">
            <v>0.7833</v>
          </cell>
          <cell r="L428">
            <v>0.77400000000000002</v>
          </cell>
          <cell r="M428">
            <v>0.8367</v>
          </cell>
          <cell r="N428">
            <v>9</v>
          </cell>
          <cell r="O428">
            <v>9</v>
          </cell>
          <cell r="P428">
            <v>7</v>
          </cell>
          <cell r="Q428">
            <v>48</v>
          </cell>
          <cell r="R428">
            <v>73</v>
          </cell>
          <cell r="S428">
            <v>1</v>
          </cell>
          <cell r="T428">
            <v>1</v>
          </cell>
          <cell r="U428">
            <v>12</v>
          </cell>
          <cell r="V428">
            <v>1</v>
          </cell>
          <cell r="W428">
            <v>15</v>
          </cell>
        </row>
        <row r="429">
          <cell r="A429">
            <v>46023</v>
          </cell>
          <cell r="B429">
            <v>10053</v>
          </cell>
          <cell r="C429" t="str">
            <v>Sim</v>
          </cell>
          <cell r="D429" t="str">
            <v>450000.00 A 900000.00</v>
          </cell>
          <cell r="E429">
            <v>2500</v>
          </cell>
          <cell r="F429">
            <v>200</v>
          </cell>
          <cell r="G429">
            <v>194</v>
          </cell>
          <cell r="H429">
            <v>45883</v>
          </cell>
          <cell r="I429">
            <v>46072</v>
          </cell>
          <cell r="J429">
            <v>46063</v>
          </cell>
          <cell r="K429">
            <v>0.80230000000000001</v>
          </cell>
          <cell r="L429">
            <v>0.75</v>
          </cell>
          <cell r="M429">
            <v>0.97</v>
          </cell>
          <cell r="N429">
            <v>6</v>
          </cell>
          <cell r="O429">
            <v>6</v>
          </cell>
          <cell r="P429">
            <v>6</v>
          </cell>
          <cell r="Q429">
            <v>36</v>
          </cell>
          <cell r="R429">
            <v>54</v>
          </cell>
          <cell r="S429">
            <v>1</v>
          </cell>
          <cell r="T429">
            <v>1</v>
          </cell>
          <cell r="U429">
            <v>16</v>
          </cell>
          <cell r="V429">
            <v>1</v>
          </cell>
          <cell r="W429">
            <v>19</v>
          </cell>
        </row>
        <row r="430">
          <cell r="A430">
            <v>46023</v>
          </cell>
          <cell r="B430">
            <v>10054</v>
          </cell>
          <cell r="C430" t="str">
            <v>Sim</v>
          </cell>
          <cell r="D430" t="str">
            <v>100000.00 A 200000.00</v>
          </cell>
          <cell r="E430">
            <v>2500</v>
          </cell>
          <cell r="F430">
            <v>200</v>
          </cell>
          <cell r="G430">
            <v>194</v>
          </cell>
          <cell r="H430">
            <v>45883</v>
          </cell>
          <cell r="I430">
            <v>46072</v>
          </cell>
          <cell r="J430">
            <v>46063</v>
          </cell>
          <cell r="K430">
            <v>0.79200000000000004</v>
          </cell>
          <cell r="L430">
            <v>0.78520000000000001</v>
          </cell>
          <cell r="M430">
            <v>0.83</v>
          </cell>
          <cell r="N430">
            <v>6</v>
          </cell>
          <cell r="O430">
            <v>6</v>
          </cell>
          <cell r="P430">
            <v>6</v>
          </cell>
          <cell r="Q430">
            <v>32</v>
          </cell>
          <cell r="R430">
            <v>50</v>
          </cell>
          <cell r="S430">
            <v>1</v>
          </cell>
          <cell r="T430">
            <v>1</v>
          </cell>
          <cell r="U430">
            <v>9</v>
          </cell>
          <cell r="V430">
            <v>1</v>
          </cell>
          <cell r="W430">
            <v>12</v>
          </cell>
        </row>
        <row r="431">
          <cell r="A431">
            <v>46023</v>
          </cell>
          <cell r="B431">
            <v>10055</v>
          </cell>
          <cell r="C431" t="str">
            <v>Sim</v>
          </cell>
          <cell r="D431" t="str">
            <v>100000.00 A 200000.00</v>
          </cell>
          <cell r="E431">
            <v>2500</v>
          </cell>
          <cell r="F431">
            <v>200</v>
          </cell>
          <cell r="G431">
            <v>196</v>
          </cell>
          <cell r="H431">
            <v>45946</v>
          </cell>
          <cell r="I431">
            <v>46072</v>
          </cell>
          <cell r="J431">
            <v>46063</v>
          </cell>
          <cell r="K431">
            <v>0.81010000000000004</v>
          </cell>
          <cell r="L431">
            <v>0.8</v>
          </cell>
          <cell r="M431">
            <v>0.86</v>
          </cell>
          <cell r="N431">
            <v>4</v>
          </cell>
          <cell r="O431">
            <v>4</v>
          </cell>
          <cell r="P431">
            <v>4</v>
          </cell>
          <cell r="Q431">
            <v>27</v>
          </cell>
          <cell r="R431">
            <v>39</v>
          </cell>
          <cell r="S431">
            <v>1</v>
          </cell>
          <cell r="T431">
            <v>1</v>
          </cell>
          <cell r="U431">
            <v>10</v>
          </cell>
          <cell r="V431">
            <v>1</v>
          </cell>
          <cell r="W431">
            <v>13</v>
          </cell>
        </row>
        <row r="432">
          <cell r="A432">
            <v>46023</v>
          </cell>
          <cell r="B432">
            <v>10056</v>
          </cell>
          <cell r="C432" t="str">
            <v>Sim</v>
          </cell>
          <cell r="D432" t="str">
            <v>200000.00 A 400000.00</v>
          </cell>
          <cell r="E432">
            <v>2500</v>
          </cell>
          <cell r="F432">
            <v>200</v>
          </cell>
          <cell r="G432">
            <v>197</v>
          </cell>
          <cell r="H432">
            <v>45974</v>
          </cell>
          <cell r="I432">
            <v>46072</v>
          </cell>
          <cell r="J432">
            <v>46063</v>
          </cell>
          <cell r="K432">
            <v>0.83130000000000004</v>
          </cell>
          <cell r="L432">
            <v>0.8125</v>
          </cell>
          <cell r="M432">
            <v>0.86</v>
          </cell>
          <cell r="N432">
            <v>3</v>
          </cell>
          <cell r="O432">
            <v>2</v>
          </cell>
          <cell r="P432">
            <v>3</v>
          </cell>
          <cell r="Q432">
            <v>21</v>
          </cell>
          <cell r="R432">
            <v>29</v>
          </cell>
          <cell r="S432">
            <v>1</v>
          </cell>
          <cell r="T432">
            <v>1</v>
          </cell>
          <cell r="U432">
            <v>11</v>
          </cell>
          <cell r="V432">
            <v>1</v>
          </cell>
          <cell r="W432">
            <v>14</v>
          </cell>
        </row>
        <row r="433">
          <cell r="A433">
            <v>46023</v>
          </cell>
          <cell r="B433">
            <v>10057</v>
          </cell>
          <cell r="C433" t="str">
            <v>Não</v>
          </cell>
          <cell r="D433" t="str">
            <v>50000.00 A 90000.00</v>
          </cell>
          <cell r="E433">
            <v>2500</v>
          </cell>
          <cell r="F433">
            <v>200</v>
          </cell>
          <cell r="G433">
            <v>197</v>
          </cell>
          <cell r="H433">
            <v>45987</v>
          </cell>
          <cell r="I433">
            <v>46072</v>
          </cell>
          <cell r="J433">
            <v>46063</v>
          </cell>
          <cell r="K433">
            <v>0.94340000000000002</v>
          </cell>
          <cell r="L433">
            <v>0.55549999999999999</v>
          </cell>
          <cell r="M433">
            <v>0.94340000000000002</v>
          </cell>
          <cell r="N433">
            <v>3</v>
          </cell>
          <cell r="O433">
            <v>3</v>
          </cell>
          <cell r="P433">
            <v>1</v>
          </cell>
          <cell r="Q433">
            <v>2</v>
          </cell>
          <cell r="R433">
            <v>9</v>
          </cell>
          <cell r="S433">
            <v>1</v>
          </cell>
          <cell r="T433">
            <v>1</v>
          </cell>
          <cell r="U433">
            <v>2</v>
          </cell>
          <cell r="V433">
            <v>0</v>
          </cell>
          <cell r="W433">
            <v>4</v>
          </cell>
        </row>
        <row r="434">
          <cell r="A434">
            <v>46023</v>
          </cell>
          <cell r="B434">
            <v>10058</v>
          </cell>
          <cell r="C434" t="str">
            <v>Não</v>
          </cell>
          <cell r="D434" t="str">
            <v>100000.00 A 200000.00</v>
          </cell>
          <cell r="E434">
            <v>2500</v>
          </cell>
          <cell r="F434">
            <v>200</v>
          </cell>
          <cell r="G434">
            <v>198</v>
          </cell>
          <cell r="H434">
            <v>46009</v>
          </cell>
          <cell r="I434">
            <v>46072</v>
          </cell>
          <cell r="J434">
            <v>46063</v>
          </cell>
          <cell r="K434">
            <v>0.62580000000000002</v>
          </cell>
          <cell r="L434">
            <v>0.75</v>
          </cell>
          <cell r="M434">
            <v>0.75</v>
          </cell>
          <cell r="N434">
            <v>2</v>
          </cell>
          <cell r="O434">
            <v>2</v>
          </cell>
          <cell r="P434">
            <v>1</v>
          </cell>
          <cell r="Q434">
            <v>2</v>
          </cell>
          <cell r="R434">
            <v>7</v>
          </cell>
          <cell r="S434">
            <v>1</v>
          </cell>
          <cell r="T434">
            <v>1</v>
          </cell>
          <cell r="U434">
            <v>1</v>
          </cell>
          <cell r="V434">
            <v>1</v>
          </cell>
          <cell r="W434">
            <v>4</v>
          </cell>
        </row>
        <row r="435">
          <cell r="A435">
            <v>46023</v>
          </cell>
          <cell r="B435">
            <v>10059</v>
          </cell>
          <cell r="C435" t="str">
            <v>Sim</v>
          </cell>
          <cell r="D435" t="str">
            <v>450000.00 A 900000.00</v>
          </cell>
          <cell r="E435">
            <v>2500</v>
          </cell>
          <cell r="F435">
            <v>200</v>
          </cell>
          <cell r="G435">
            <v>198</v>
          </cell>
          <cell r="H435">
            <v>46006</v>
          </cell>
          <cell r="I435">
            <v>46072</v>
          </cell>
          <cell r="J435">
            <v>46063</v>
          </cell>
          <cell r="K435">
            <v>0.86029999999999995</v>
          </cell>
          <cell r="L435">
            <v>0.8</v>
          </cell>
          <cell r="M435">
            <v>0.95</v>
          </cell>
          <cell r="N435">
            <v>2</v>
          </cell>
          <cell r="O435">
            <v>2</v>
          </cell>
          <cell r="P435">
            <v>2</v>
          </cell>
          <cell r="Q435">
            <v>8</v>
          </cell>
          <cell r="R435">
            <v>14</v>
          </cell>
          <cell r="S435">
            <v>1</v>
          </cell>
          <cell r="T435">
            <v>1</v>
          </cell>
          <cell r="U435">
            <v>6</v>
          </cell>
          <cell r="V435">
            <v>1</v>
          </cell>
          <cell r="W435">
            <v>9</v>
          </cell>
        </row>
        <row r="436">
          <cell r="A436">
            <v>46023</v>
          </cell>
          <cell r="B436">
            <v>10060</v>
          </cell>
          <cell r="C436" t="str">
            <v>Sim</v>
          </cell>
          <cell r="D436" t="str">
            <v>100000.00 A 200000.00</v>
          </cell>
          <cell r="E436">
            <v>2500</v>
          </cell>
          <cell r="F436">
            <v>200</v>
          </cell>
          <cell r="G436">
            <v>199</v>
          </cell>
          <cell r="H436">
            <v>46037</v>
          </cell>
          <cell r="I436">
            <v>46072</v>
          </cell>
          <cell r="J436">
            <v>46063</v>
          </cell>
          <cell r="K436">
            <v>0</v>
          </cell>
          <cell r="L436">
            <v>0.75029999999999997</v>
          </cell>
          <cell r="M436">
            <v>0.76</v>
          </cell>
          <cell r="N436">
            <v>1</v>
          </cell>
          <cell r="O436">
            <v>1</v>
          </cell>
          <cell r="P436">
            <v>1</v>
          </cell>
          <cell r="Q436">
            <v>2</v>
          </cell>
          <cell r="R436">
            <v>5</v>
          </cell>
          <cell r="S436">
            <v>1</v>
          </cell>
          <cell r="T436">
            <v>1</v>
          </cell>
          <cell r="U436">
            <v>2</v>
          </cell>
          <cell r="V436">
            <v>1</v>
          </cell>
          <cell r="W436">
            <v>5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1B260-161B-4620-ACBB-DE8BDC796580}">
  <sheetPr>
    <pageSetUpPr fitToPage="1"/>
  </sheetPr>
  <dimension ref="A1:XFC46"/>
  <sheetViews>
    <sheetView showGridLines="0" showRowColHeaders="0" tabSelected="1" zoomScale="95" zoomScaleNormal="95" workbookViewId="0">
      <pane ySplit="2" topLeftCell="A3" activePane="bottomLeft" state="frozen"/>
      <selection pane="bottomLeft" activeCell="L17" sqref="L17:N19"/>
    </sheetView>
  </sheetViews>
  <sheetFormatPr defaultColWidth="0" defaultRowHeight="0" customHeight="1" zeroHeight="1" x14ac:dyDescent="0.25"/>
  <cols>
    <col min="1" max="19" width="9.140625" customWidth="1"/>
    <col min="20" max="22" width="9.140625" style="1" customWidth="1"/>
    <col min="23" max="32" width="9.140625" style="1" hidden="1" customWidth="1"/>
    <col min="33" max="16383" width="9.140625" hidden="1"/>
    <col min="16384" max="16384" width="1.7109375" hidden="1"/>
  </cols>
  <sheetData>
    <row r="1" spans="1:33" ht="68.25" customHeight="1" x14ac:dyDescent="0.25">
      <c r="A1" s="58"/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</row>
    <row r="2" spans="1:33" ht="38.25" customHeight="1" thickBot="1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6" t="s">
        <v>25</v>
      </c>
      <c r="T2" s="56"/>
      <c r="U2" s="56"/>
      <c r="V2" s="56"/>
      <c r="W2" s="55"/>
      <c r="X2" s="55"/>
      <c r="Y2" s="55"/>
      <c r="Z2" s="55"/>
      <c r="AA2" s="55"/>
      <c r="AB2" s="55"/>
      <c r="AC2" s="55"/>
      <c r="AD2" s="55"/>
      <c r="AE2" s="55"/>
      <c r="AF2" s="55"/>
    </row>
    <row r="3" spans="1:33" ht="15" x14ac:dyDescent="0.25">
      <c r="A3" s="54"/>
      <c r="B3" s="53" t="s">
        <v>24</v>
      </c>
    </row>
    <row r="4" spans="1:33" ht="15" x14ac:dyDescent="0.25">
      <c r="B4" s="52" t="s">
        <v>23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</row>
    <row r="5" spans="1:33" ht="15" x14ac:dyDescent="0.25"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8" t="s">
        <v>22</v>
      </c>
      <c r="N5" s="48"/>
      <c r="O5" s="48"/>
      <c r="P5" s="47"/>
      <c r="Q5" s="47"/>
      <c r="R5" s="47"/>
    </row>
    <row r="6" spans="1:33" ht="15" x14ac:dyDescent="0.25">
      <c r="B6" s="51" t="s">
        <v>21</v>
      </c>
      <c r="C6" s="50">
        <v>10040</v>
      </c>
      <c r="D6" s="47"/>
      <c r="G6" s="48" t="str">
        <f>IF(K6&gt;0," Grupo COM Lance Embutido de","Grupo SEM Lance Embutido")</f>
        <v xml:space="preserve"> Grupo COM Lance Embutido de</v>
      </c>
      <c r="H6" s="48"/>
      <c r="I6" s="48"/>
      <c r="J6" s="48"/>
      <c r="K6" s="49">
        <f>VLOOKUP(C6,'[1]Grupos Imobiliario'!B:W,2,FALSE)/100</f>
        <v>0.5</v>
      </c>
      <c r="L6" s="49"/>
      <c r="M6" s="48" t="str">
        <f>VLOOKUP(C6,'[1]Grupos Imobiliario'!B:W,3,FALSE)</f>
        <v>450000.00 A 900000.00</v>
      </c>
      <c r="N6" s="48"/>
      <c r="O6" s="48"/>
      <c r="P6" s="47"/>
      <c r="Q6" s="47"/>
      <c r="R6" s="47"/>
    </row>
    <row r="7" spans="1:33" ht="15" x14ac:dyDescent="0.25"/>
    <row r="8" spans="1:33" ht="15" x14ac:dyDescent="0.25">
      <c r="B8" s="41" t="s">
        <v>20</v>
      </c>
      <c r="C8" s="40"/>
      <c r="D8" s="39"/>
      <c r="E8" s="46">
        <f ca="1">DATE(YEAR(TODAY()), MONTH(TODAY())-6, 1)</f>
        <v>45839</v>
      </c>
      <c r="F8" s="46"/>
      <c r="G8" s="46">
        <f ca="1">DATE(YEAR(TODAY()), MONTH(TODAY())-5, 1)</f>
        <v>45870</v>
      </c>
      <c r="H8" s="46"/>
      <c r="I8" s="46">
        <f ca="1">DATE(YEAR(TODAY()), MONTH(TODAY())-4, 1)</f>
        <v>45901</v>
      </c>
      <c r="J8" s="46"/>
      <c r="K8" s="46">
        <f ca="1">DATE(YEAR(TODAY()), MONTH(TODAY())-3, 1)</f>
        <v>45931</v>
      </c>
      <c r="L8" s="46"/>
      <c r="M8" s="46">
        <f ca="1">DATE(YEAR(TODAY()), MONTH(TODAY())-2, 1)</f>
        <v>45962</v>
      </c>
      <c r="N8" s="46"/>
      <c r="O8" s="46">
        <f ca="1">DATE(YEAR(TODAY()), MONTH(TODAY())-1, 1)</f>
        <v>45992</v>
      </c>
      <c r="P8" s="46"/>
      <c r="Q8" s="20" t="s">
        <v>19</v>
      </c>
      <c r="R8" s="20"/>
    </row>
    <row r="9" spans="1:33" ht="15" x14ac:dyDescent="0.25">
      <c r="B9" s="41" t="s">
        <v>18</v>
      </c>
      <c r="C9" s="40"/>
      <c r="D9" s="39"/>
      <c r="E9" s="20" cm="1">
        <f t="array" aca="1" ref="E9" ca="1">_xlfn.XLOOKUP(1,
(('[1]Grupos Imobiliario'!$B:$B)='ESTUDO DE LANCES'!$C$6)*(('[1]Grupos Imobiliario'!$A:$A)='ESTUDO DE LANCES'!E8),
'[1]Grupos Imobiliario'!$S:$S,
0)</f>
        <v>1</v>
      </c>
      <c r="F9" s="20"/>
      <c r="G9" s="20" cm="1">
        <f t="array" aca="1" ref="G9" ca="1">_xlfn.XLOOKUP(1,
(('[1]Grupos Imobiliario'!$B:$B)='ESTUDO DE LANCES'!$C$6)*(('[1]Grupos Imobiliario'!$A:$A)='ESTUDO DE LANCES'!G8),
'[1]Grupos Imobiliario'!$S:$S,
0)</f>
        <v>1</v>
      </c>
      <c r="H9" s="20"/>
      <c r="I9" s="20" cm="1">
        <f t="array" aca="1" ref="I9" ca="1">_xlfn.XLOOKUP(1,
(('[1]Grupos Imobiliario'!$B:$B)='ESTUDO DE LANCES'!$C$6)*(('[1]Grupos Imobiliario'!$A:$A)='ESTUDO DE LANCES'!I8),
'[1]Grupos Imobiliario'!$S:$S,
"NE")</f>
        <v>1</v>
      </c>
      <c r="J9" s="20"/>
      <c r="K9" s="20" cm="1">
        <f t="array" aca="1" ref="K9" ca="1">_xlfn.XLOOKUP(1,
(('[1]Grupos Imobiliario'!$B:$B)='ESTUDO DE LANCES'!$C$6)*(('[1]Grupos Imobiliario'!$A:$A)='ESTUDO DE LANCES'!K8),
'[1]Grupos Imobiliario'!$S:$S,
"NE")</f>
        <v>1</v>
      </c>
      <c r="L9" s="20"/>
      <c r="M9" s="20" cm="1">
        <f t="array" aca="1" ref="M9" ca="1">_xlfn.XLOOKUP(1,
(('[1]Grupos Imobiliario'!$B:$B)='ESTUDO DE LANCES'!$C$6)*(('[1]Grupos Imobiliario'!$A:$A)='ESTUDO DE LANCES'!M8),
'[1]Grupos Imobiliario'!$S:$S,
"NE")</f>
        <v>1</v>
      </c>
      <c r="N9" s="20"/>
      <c r="O9" s="20" cm="1">
        <f t="array" aca="1" ref="O9" ca="1">_xlfn.XLOOKUP(1,
(('[1]Grupos Imobiliario'!$B:$B)='ESTUDO DE LANCES'!$C$6)*(('[1]Grupos Imobiliario'!$A:$A)='ESTUDO DE LANCES'!O8),
'[1]Grupos Imobiliario'!$S:$S,
"NE")</f>
        <v>1</v>
      </c>
      <c r="P9" s="20"/>
      <c r="Q9" s="45">
        <f ca="1">AVERAGE(E9:P9)</f>
        <v>1</v>
      </c>
      <c r="R9" s="45"/>
    </row>
    <row r="10" spans="1:33" ht="15" x14ac:dyDescent="0.25">
      <c r="B10" s="41" t="s">
        <v>17</v>
      </c>
      <c r="C10" s="40"/>
      <c r="D10" s="39"/>
      <c r="E10" s="20" cm="1">
        <f t="array" aca="1" ref="E10" ca="1">_xlfn.XLOOKUP(1,
(('[1]Grupos Imobiliario'!$B:$B)='ESTUDO DE LANCES'!$C$6)*(('[1]Grupos Imobiliario'!$A:$A)='ESTUDO DE LANCES'!E8),
'[1]Grupos Imobiliario'!$U:$U,
0)</f>
        <v>11</v>
      </c>
      <c r="F10" s="20"/>
      <c r="G10" s="20" cm="1">
        <f t="array" aca="1" ref="G10" ca="1">_xlfn.XLOOKUP(1,
(('[1]Grupos Imobiliario'!$B:$B)='ESTUDO DE LANCES'!$C$6)*(('[1]Grupos Imobiliario'!$A:$A)='ESTUDO DE LANCES'!G8),
'[1]Grupos Imobiliario'!$U:$U,
0)</f>
        <v>14</v>
      </c>
      <c r="H10" s="20"/>
      <c r="I10" s="20" cm="1">
        <f t="array" aca="1" ref="I10" ca="1">_xlfn.XLOOKUP(1,
(('[1]Grupos Imobiliario'!$B:$B)='ESTUDO DE LANCES'!$C$6)*(('[1]Grupos Imobiliario'!$A:$A)='ESTUDO DE LANCES'!I8),
'[1]Grupos Imobiliario'!$U:$U,
"NE")</f>
        <v>16</v>
      </c>
      <c r="J10" s="20"/>
      <c r="K10" s="20" cm="1">
        <f t="array" aca="1" ref="K10" ca="1">_xlfn.XLOOKUP(1,
(('[1]Grupos Imobiliario'!$B:$B)='ESTUDO DE LANCES'!$C$6)*(('[1]Grupos Imobiliario'!$A:$A)='ESTUDO DE LANCES'!K8),
'[1]Grupos Imobiliario'!$U:$U,
"NE")</f>
        <v>30</v>
      </c>
      <c r="L10" s="20"/>
      <c r="M10" s="20" cm="1">
        <f t="array" aca="1" ref="M10" ca="1">_xlfn.XLOOKUP(1,
(('[1]Grupos Imobiliario'!$B:$B)='ESTUDO DE LANCES'!$C$6)*(('[1]Grupos Imobiliario'!$A:$A)='ESTUDO DE LANCES'!M8),
'[1]Grupos Imobiliario'!$U:$U,
"NE")</f>
        <v>26</v>
      </c>
      <c r="N10" s="20"/>
      <c r="O10" s="20" cm="1">
        <f t="array" aca="1" ref="O10" ca="1">_xlfn.XLOOKUP(1,
(('[1]Grupos Imobiliario'!$B:$B)='ESTUDO DE LANCES'!$C$6)*(('[1]Grupos Imobiliario'!$A:$A)='ESTUDO DE LANCES'!O$8),
'[1]Grupos Imobiliario'!$U:$U,
"NE")</f>
        <v>29</v>
      </c>
      <c r="P10" s="20"/>
      <c r="Q10" s="45">
        <f ca="1">AVERAGE(E10:P10)</f>
        <v>21</v>
      </c>
      <c r="R10" s="45"/>
      <c r="AF10" s="8"/>
      <c r="AG10" s="44"/>
    </row>
    <row r="11" spans="1:33" ht="15" x14ac:dyDescent="0.25">
      <c r="B11" s="43"/>
      <c r="C11" s="43"/>
      <c r="D11" s="43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AC11" s="2"/>
      <c r="AD11" s="2"/>
      <c r="AE11" s="2"/>
      <c r="AF11" s="2"/>
      <c r="AG11" s="42"/>
    </row>
    <row r="12" spans="1:33" ht="15" x14ac:dyDescent="0.25">
      <c r="B12" s="41" t="s">
        <v>3</v>
      </c>
      <c r="C12" s="40"/>
      <c r="D12" s="39"/>
      <c r="E12" s="38">
        <f ca="1">IF(T12="NE","NE",(T12*1))</f>
        <v>0.85</v>
      </c>
      <c r="F12" s="37"/>
      <c r="G12" s="38">
        <f ca="1">IF(V12="NE","NE",(V12*1))</f>
        <v>0.86670000000000003</v>
      </c>
      <c r="H12" s="37"/>
      <c r="I12" s="38">
        <f ca="1">IF(X12="NE","NE",(X12*1))</f>
        <v>0.86670000000000003</v>
      </c>
      <c r="J12" s="37"/>
      <c r="K12" s="38">
        <f ca="1">IF(Z12="NE","NE",(Z12*1))</f>
        <v>0.88</v>
      </c>
      <c r="L12" s="37"/>
      <c r="M12" s="38">
        <f ca="1">IF(AB12="NE","NE",(AB12*1))</f>
        <v>0.88</v>
      </c>
      <c r="N12" s="37"/>
      <c r="O12" s="38">
        <f ca="1">IF(AD12="NE","NE",(AD12*1))</f>
        <v>0.82099999999999995</v>
      </c>
      <c r="P12" s="37"/>
      <c r="Q12" s="36">
        <f ca="1">IFERROR(AVERAGEIF(E12:P12, "&gt;0"), "")</f>
        <v>0.86073333333333324</v>
      </c>
      <c r="R12" s="36"/>
      <c r="T12" s="35" t="str" cm="1">
        <f t="array" aca="1" ref="T12" ca="1">SUBSTITUTE(
    _xlfn.XLOOKUP(
        1,
        (('[1]Grupos Imobiliario'!$B:$B)='ESTUDO DE LANCES'!$C$6)*(('[1]Grupos Imobiliario'!$A:$A)='ESTUDO DE LANCES'!E$8),
        '[1]Grupos Imobiliario'!$M:$M,
        "NE"
    ),
    ".",
    ","
)</f>
        <v>85,00%</v>
      </c>
      <c r="U12" s="34"/>
      <c r="V12" s="35" t="str" cm="1">
        <f t="array" aca="1" ref="V12" ca="1">SUBSTITUTE(
    _xlfn.XLOOKUP(
        1,
        (('[1]Grupos Imobiliario'!$B:$B)='ESTUDO DE LANCES'!$C$6)*(('[1]Grupos Imobiliario'!$A:$A)='ESTUDO DE LANCES'!G$8),
        '[1]Grupos Imobiliario'!$M:$M,
        "NE"
    ),
    ".",
    ","
)</f>
        <v>86,67%</v>
      </c>
      <c r="W12" s="34"/>
      <c r="X12" s="35" t="str" cm="1">
        <f t="array" aca="1" ref="X12" ca="1">SUBSTITUTE(
    _xlfn.XLOOKUP(
        1,
        (('[1]Grupos Imobiliario'!$B:$B)='ESTUDO DE LANCES'!$C$6)*(('[1]Grupos Imobiliario'!$A:$A)='ESTUDO DE LANCES'!I$8),
        '[1]Grupos Imobiliario'!$M:$M,
        "NE"
    ),
    ".",
    ","
)</f>
        <v>0,8667</v>
      </c>
      <c r="Y12" s="34"/>
      <c r="Z12" s="35" t="str" cm="1">
        <f t="array" aca="1" ref="Z12" ca="1">SUBSTITUTE(
    _xlfn.XLOOKUP(
        1,
        (('[1]Grupos Imobiliario'!$B:$B)='ESTUDO DE LANCES'!$C$6)*(('[1]Grupos Imobiliario'!$A:$A)='ESTUDO DE LANCES'!K$8),
        '[1]Grupos Imobiliario'!$M:$M,
        "NE"
    ),
    ".",
    ","
)</f>
        <v>0,88</v>
      </c>
      <c r="AA12" s="34"/>
      <c r="AB12" s="35" t="str" cm="1">
        <f t="array" aca="1" ref="AB12" ca="1">SUBSTITUTE(
    _xlfn.XLOOKUP(
        1,
        (('[1]Grupos Imobiliario'!$B:$B)='ESTUDO DE LANCES'!$C$6)*(('[1]Grupos Imobiliario'!$A:$A)='ESTUDO DE LANCES'!M$8),
        '[1]Grupos Imobiliario'!$M:$M,
        "NE"
    ),
    ".",
    ","
)</f>
        <v>0,88</v>
      </c>
      <c r="AC12" s="34"/>
      <c r="AD12" s="35" t="str" cm="1">
        <f t="array" aca="1" ref="AD12" ca="1">SUBSTITUTE(
    _xlfn.XLOOKUP(
        1,
        (('[1]Grupos Imobiliario'!$B:$B)='ESTUDO DE LANCES'!$C$6)*(('[1]Grupos Imobiliario'!$A:$A)='ESTUDO DE LANCES'!O$8),
        '[1]Grupos Imobiliario'!$M:$M,
        "NE"
    ),
    ".",
    ","
)</f>
        <v>0,821</v>
      </c>
      <c r="AE12" s="34"/>
      <c r="AF12" s="2"/>
      <c r="AG12" s="42"/>
    </row>
    <row r="13" spans="1:33" ht="15" x14ac:dyDescent="0.25">
      <c r="B13" s="41" t="s">
        <v>16</v>
      </c>
      <c r="C13" s="40"/>
      <c r="D13" s="39"/>
      <c r="E13" s="38">
        <f ca="1">IF(T13="NE","NE",(T13*1))</f>
        <v>0.83169999999999999</v>
      </c>
      <c r="F13" s="37"/>
      <c r="G13" s="38">
        <f ca="1">IF(V13="NE","NE",(V13*1))</f>
        <v>0.84130000000000005</v>
      </c>
      <c r="H13" s="37"/>
      <c r="I13" s="38">
        <f ca="1">IF(X13="NE","NE",(X13*1))</f>
        <v>0.84360000000000002</v>
      </c>
      <c r="J13" s="37"/>
      <c r="K13" s="38">
        <f ca="1">IF(Z13="NE","NE",(Z13*1))</f>
        <v>0.84530000000000005</v>
      </c>
      <c r="L13" s="37"/>
      <c r="M13" s="38">
        <f ca="1">IF(AB13="NE","NE",(AB13*1))</f>
        <v>0.80930000000000002</v>
      </c>
      <c r="N13" s="37"/>
      <c r="O13" s="38">
        <f ca="1">IF(AD13="NE","NE",(AD13*1))</f>
        <v>0.78510000000000002</v>
      </c>
      <c r="P13" s="37"/>
      <c r="Q13" s="36">
        <f ca="1">IFERROR(AVERAGEIF(E13:P13, "&gt;0"), "")</f>
        <v>0.82604999999999995</v>
      </c>
      <c r="R13" s="36"/>
      <c r="T13" s="35" t="str" cm="1">
        <f t="array" aca="1" ref="T13" ca="1">SUBSTITUTE(
    _xlfn.XLOOKUP(
        1,
        (('[1]Grupos Imobiliario'!$B:$B)='ESTUDO DE LANCES'!$C$6)*(('[1]Grupos Imobiliario'!$A:$A)='ESTUDO DE LANCES'!E$8),
        '[1]Grupos Imobiliario'!$K:$K,
        "NE"
    ),
    ".",
    ","
)</f>
        <v>83,17%</v>
      </c>
      <c r="U13" s="34"/>
      <c r="V13" s="35" t="str" cm="1">
        <f t="array" aca="1" ref="V13" ca="1">SUBSTITUTE(
    _xlfn.XLOOKUP(
        1,
        (('[1]Grupos Imobiliario'!$B:$B)='ESTUDO DE LANCES'!$C$6)*(('[1]Grupos Imobiliario'!$A:$A)='ESTUDO DE LANCES'!G$8),
        '[1]Grupos Imobiliario'!$K:$K,
        "NE"
    ),
    ".",
    ","
)</f>
        <v>84,13%</v>
      </c>
      <c r="W13" s="34"/>
      <c r="X13" s="35" t="str" cm="1">
        <f t="array" aca="1" ref="X13" ca="1">SUBSTITUTE(
    _xlfn.XLOOKUP(
        1,
        (('[1]Grupos Imobiliario'!$B:$B)='ESTUDO DE LANCES'!$C$6)*(('[1]Grupos Imobiliario'!$A:$A)='ESTUDO DE LANCES'!I$8),
        '[1]Grupos Imobiliario'!$K:$K,
        "NE"
    ),
    ".",
    ","
)</f>
        <v>0,8436</v>
      </c>
      <c r="Y13" s="34"/>
      <c r="Z13" s="35" t="str" cm="1">
        <f t="array" aca="1" ref="Z13" ca="1">SUBSTITUTE(
    _xlfn.XLOOKUP(
        1,
        (('[1]Grupos Imobiliario'!$B:$B)='ESTUDO DE LANCES'!$C$6)*(('[1]Grupos Imobiliario'!$A:$A)='ESTUDO DE LANCES'!K$8),
        '[1]Grupos Imobiliario'!$K:$K,
        "NE"
    ),
    ".",
    ","
)</f>
        <v>0,8453</v>
      </c>
      <c r="AA13" s="34"/>
      <c r="AB13" s="35" t="str" cm="1">
        <f t="array" aca="1" ref="AB13" ca="1">SUBSTITUTE(
    _xlfn.XLOOKUP(
        1,
        (('[1]Grupos Imobiliario'!$B:$B)='ESTUDO DE LANCES'!$C$6)*(('[1]Grupos Imobiliario'!$A:$A)='ESTUDO DE LANCES'!M$8),
        '[1]Grupos Imobiliario'!$K:$K,
        "NE"
    ),
    ".",
    ","
)</f>
        <v>0,8093</v>
      </c>
      <c r="AC13" s="34"/>
      <c r="AD13" s="35" t="str" cm="1">
        <f t="array" aca="1" ref="AD13" ca="1">SUBSTITUTE(
    _xlfn.XLOOKUP(
        1,
        (('[1]Grupos Imobiliario'!$B:$B)='ESTUDO DE LANCES'!$C$6)*(('[1]Grupos Imobiliario'!$A:$A)='ESTUDO DE LANCES'!O$8),
        '[1]Grupos Imobiliario'!$K:$K,
        "NE"
    ),
    ".",
    ","
)</f>
        <v>0,7851</v>
      </c>
      <c r="AE13" s="34"/>
      <c r="AF13" s="2"/>
      <c r="AG13" s="42"/>
    </row>
    <row r="14" spans="1:33" ht="15" x14ac:dyDescent="0.25">
      <c r="B14" s="41" t="s">
        <v>1</v>
      </c>
      <c r="C14" s="40"/>
      <c r="D14" s="39"/>
      <c r="E14" s="38">
        <f ca="1">IF(T14="NE","NE",(T14*1))</f>
        <v>0.82</v>
      </c>
      <c r="F14" s="37"/>
      <c r="G14" s="38">
        <f ca="1">IF(V14="NE","NE",(V14*1))</f>
        <v>0.83499999999999996</v>
      </c>
      <c r="H14" s="37"/>
      <c r="I14" s="38">
        <f ca="1">IF(X14="NE","NE",(X14*1))</f>
        <v>0.83499999999999996</v>
      </c>
      <c r="J14" s="37"/>
      <c r="K14" s="38">
        <f ca="1">IF(Z14="NE","NE",(Z14*1))</f>
        <v>0.80010000000000003</v>
      </c>
      <c r="L14" s="37"/>
      <c r="M14" s="38">
        <f ca="1">IF(AB14="NE","NE",(AB14*1))</f>
        <v>0.75</v>
      </c>
      <c r="N14" s="37"/>
      <c r="O14" s="38">
        <f ca="1">IF(AD14="NE","NE",(AD14*1))</f>
        <v>0.75</v>
      </c>
      <c r="P14" s="37"/>
      <c r="Q14" s="36">
        <f ca="1">IFERROR(AVERAGEIF(E14:P14, "&gt;0"), "")</f>
        <v>0.79835</v>
      </c>
      <c r="R14" s="36"/>
      <c r="T14" s="35" t="str" cm="1">
        <f t="array" aca="1" ref="T14" ca="1">SUBSTITUTE(
    _xlfn.XLOOKUP(
        1,
        (('[1]Grupos Imobiliario'!$B:$B)='ESTUDO DE LANCES'!$C$6)*(('[1]Grupos Imobiliario'!$A:$A)='ESTUDO DE LANCES'!E$8),
        '[1]Grupos Imobiliario'!$L:$L,
        "NE"
    ),
    ".",
    ","
)</f>
        <v>82,00%</v>
      </c>
      <c r="U14" s="34"/>
      <c r="V14" s="35" t="str" cm="1">
        <f t="array" aca="1" ref="V14" ca="1">SUBSTITUTE(
    _xlfn.XLOOKUP(
        1,
        (('[1]Grupos Imobiliario'!$B:$B)='ESTUDO DE LANCES'!$C$6)*(('[1]Grupos Imobiliario'!$A:$A)='ESTUDO DE LANCES'!G$8),
        '[1]Grupos Imobiliario'!$L:$L,
        "NE"
    ),
    ".",
    ","
)</f>
        <v>83,50%</v>
      </c>
      <c r="W14" s="34"/>
      <c r="X14" s="35" t="str" cm="1">
        <f t="array" aca="1" ref="X14" ca="1">SUBSTITUTE(
    _xlfn.XLOOKUP(
        1,
        (('[1]Grupos Imobiliario'!$B:$B)='ESTUDO DE LANCES'!$C$6)*(('[1]Grupos Imobiliario'!$A:$A)='ESTUDO DE LANCES'!I$8),
        '[1]Grupos Imobiliario'!$L:$L,
        "NE"
    ),
    ".",
    ","
)</f>
        <v>0,835</v>
      </c>
      <c r="Y14" s="34"/>
      <c r="Z14" s="35" t="str" cm="1">
        <f t="array" aca="1" ref="Z14" ca="1">SUBSTITUTE(
    _xlfn.XLOOKUP(
        1,
        (('[1]Grupos Imobiliario'!$B:$B)='ESTUDO DE LANCES'!$C$6)*(('[1]Grupos Imobiliario'!$A:$A)='ESTUDO DE LANCES'!K$8),
        '[1]Grupos Imobiliario'!$L:$L,
        "NE"
    ),
    ".",
    ","
)</f>
        <v>0,8001</v>
      </c>
      <c r="AA14" s="34"/>
      <c r="AB14" s="35" t="str" cm="1">
        <f t="array" aca="1" ref="AB14" ca="1">SUBSTITUTE(
    _xlfn.XLOOKUP(
        1,
        (('[1]Grupos Imobiliario'!$B:$B)='ESTUDO DE LANCES'!$C$6)*(('[1]Grupos Imobiliario'!$A:$A)='ESTUDO DE LANCES'!M$8),
        '[1]Grupos Imobiliario'!$L:$L,
        "NE"
    ),
    ".",
    ","
)</f>
        <v>0,75</v>
      </c>
      <c r="AC14" s="34"/>
      <c r="AD14" s="35" t="str" cm="1">
        <f t="array" aca="1" ref="AD14" ca="1">SUBSTITUTE(
    _xlfn.XLOOKUP(
        1,
        (('[1]Grupos Imobiliario'!$B:$B)='ESTUDO DE LANCES'!$C$6)*(('[1]Grupos Imobiliario'!$A:$A)='ESTUDO DE LANCES'!O$8),
        '[1]Grupos Imobiliario'!$L:$L,
        "NE"
    ),
    ".",
    ","
)</f>
        <v>0,75</v>
      </c>
      <c r="AE14" s="34"/>
    </row>
    <row r="15" spans="1:33" ht="15" x14ac:dyDescent="0.25"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</row>
    <row r="16" spans="1:33" ht="15" x14ac:dyDescent="0.25">
      <c r="B16" s="31" t="s">
        <v>15</v>
      </c>
      <c r="C16" s="31"/>
      <c r="D16" s="32"/>
      <c r="E16" s="31" t="s">
        <v>14</v>
      </c>
      <c r="F16" s="31"/>
      <c r="G16" s="32"/>
      <c r="H16" s="31" t="s">
        <v>13</v>
      </c>
      <c r="I16" s="31"/>
      <c r="J16" s="31"/>
      <c r="K16" s="30"/>
      <c r="L16" s="29" t="s">
        <v>12</v>
      </c>
      <c r="M16" s="28"/>
      <c r="N16" s="27"/>
    </row>
    <row r="17" spans="2:28" s="1" customFormat="1" ht="15" x14ac:dyDescent="0.25">
      <c r="B17" s="21">
        <f ca="1">MAX(E12:R12)</f>
        <v>0.88</v>
      </c>
      <c r="C17" s="20"/>
      <c r="D17" s="17"/>
      <c r="E17" s="24">
        <f ca="1">_xlfn.PERCENTILE.EXC($E$12:$R$14,0.9)</f>
        <v>0.87734000000000001</v>
      </c>
      <c r="F17" s="23"/>
      <c r="G17" s="17"/>
      <c r="H17" s="16" t="s">
        <v>11</v>
      </c>
      <c r="I17" s="15" t="s">
        <v>10</v>
      </c>
      <c r="J17" s="14"/>
      <c r="K17"/>
      <c r="L17" s="13">
        <v>0.78</v>
      </c>
      <c r="M17" s="12"/>
      <c r="N17" s="11"/>
      <c r="O17"/>
      <c r="P17" s="26"/>
      <c r="Q17"/>
      <c r="R17" s="25"/>
      <c r="S17"/>
    </row>
    <row r="18" spans="2:28" s="1" customFormat="1" ht="15" x14ac:dyDescent="0.25">
      <c r="B18" s="21">
        <f ca="1">MAX(E13:R13)</f>
        <v>0.84530000000000005</v>
      </c>
      <c r="C18" s="20"/>
      <c r="D18" s="17"/>
      <c r="E18" s="24">
        <f ca="1">_xlfn.PERCENTILE.EXC($E$12:$R$14,0.7)</f>
        <v>0.84718000000000004</v>
      </c>
      <c r="F18" s="23"/>
      <c r="G18" s="17"/>
      <c r="H18" s="22" t="s">
        <v>9</v>
      </c>
      <c r="I18" s="15" t="s">
        <v>8</v>
      </c>
      <c r="J18" s="14"/>
      <c r="K18"/>
      <c r="L18" s="13"/>
      <c r="M18" s="12"/>
      <c r="N18" s="11"/>
      <c r="O18"/>
      <c r="P18"/>
      <c r="Q18"/>
      <c r="R18"/>
      <c r="S18"/>
    </row>
    <row r="19" spans="2:28" s="1" customFormat="1" ht="15" x14ac:dyDescent="0.25">
      <c r="B19" s="21">
        <f ca="1">MAX(E14:R14)</f>
        <v>0.83499999999999996</v>
      </c>
      <c r="C19" s="20"/>
      <c r="D19" s="17"/>
      <c r="E19" s="19">
        <f ca="1">_xlfn.PERCENTILE.EXC($E$12:$R$14,0.5)</f>
        <v>0.83499999999999996</v>
      </c>
      <c r="F19" s="18"/>
      <c r="G19" s="17"/>
      <c r="H19" s="16" t="s">
        <v>7</v>
      </c>
      <c r="I19" s="15" t="s">
        <v>6</v>
      </c>
      <c r="J19" s="14"/>
      <c r="K19"/>
      <c r="L19" s="13"/>
      <c r="M19" s="12"/>
      <c r="N19" s="11"/>
      <c r="O19"/>
      <c r="P19"/>
      <c r="Q19"/>
      <c r="R19"/>
      <c r="S19"/>
    </row>
    <row r="20" spans="2:28" s="1" customFormat="1" ht="15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2:28" s="1" customFormat="1" ht="15" x14ac:dyDescent="0.2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V21" s="10" t="s">
        <v>5</v>
      </c>
      <c r="W21" s="10" t="s">
        <v>4</v>
      </c>
      <c r="X21" s="10" t="s">
        <v>3</v>
      </c>
      <c r="Y21" s="10" t="s">
        <v>2</v>
      </c>
      <c r="Z21" s="10" t="s">
        <v>1</v>
      </c>
      <c r="AA21" s="10" t="s">
        <v>0</v>
      </c>
    </row>
    <row r="22" spans="2:28" s="1" customFormat="1" ht="15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U22" s="9">
        <f ca="1">E8</f>
        <v>45839</v>
      </c>
      <c r="V22" s="8">
        <f ca="1">E9</f>
        <v>1</v>
      </c>
      <c r="W22" s="8">
        <f ca="1">E10</f>
        <v>11</v>
      </c>
      <c r="X22" s="4">
        <f ca="1">E12</f>
        <v>0.85</v>
      </c>
      <c r="Y22" s="3">
        <f ca="1">E13</f>
        <v>0.83169999999999999</v>
      </c>
      <c r="Z22" s="3">
        <f ca="1">E14</f>
        <v>0.82</v>
      </c>
      <c r="AA22" s="7">
        <f>L17</f>
        <v>0.78</v>
      </c>
    </row>
    <row r="23" spans="2:28" s="1" customFormat="1" ht="15" x14ac:dyDescent="0.2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U23" s="9">
        <f ca="1">G8</f>
        <v>45870</v>
      </c>
      <c r="V23" s="8">
        <f ca="1">G9</f>
        <v>1</v>
      </c>
      <c r="W23" s="8">
        <f ca="1">G10</f>
        <v>14</v>
      </c>
      <c r="X23" s="4">
        <f ca="1">G12</f>
        <v>0.86670000000000003</v>
      </c>
      <c r="Y23" s="3">
        <f ca="1">G13</f>
        <v>0.84130000000000005</v>
      </c>
      <c r="Z23" s="3">
        <f ca="1">G14</f>
        <v>0.83499999999999996</v>
      </c>
      <c r="AA23" s="7">
        <f>L17</f>
        <v>0.78</v>
      </c>
    </row>
    <row r="24" spans="2:28" s="1" customFormat="1" ht="15" x14ac:dyDescent="0.2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U24" s="9">
        <f ca="1">I8</f>
        <v>45901</v>
      </c>
      <c r="V24" s="8">
        <f ca="1">I9</f>
        <v>1</v>
      </c>
      <c r="W24" s="8">
        <f ca="1">I10</f>
        <v>16</v>
      </c>
      <c r="X24" s="4">
        <f ca="1">I12</f>
        <v>0.86670000000000003</v>
      </c>
      <c r="Y24" s="3">
        <f ca="1">I13</f>
        <v>0.84360000000000002</v>
      </c>
      <c r="Z24" s="3">
        <f ca="1">I14</f>
        <v>0.83499999999999996</v>
      </c>
      <c r="AA24" s="7">
        <f>L17</f>
        <v>0.78</v>
      </c>
    </row>
    <row r="25" spans="2:28" s="1" customFormat="1" ht="15" x14ac:dyDescent="0.25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U25" s="6">
        <f ca="1">K8</f>
        <v>45931</v>
      </c>
      <c r="V25" s="5">
        <f ca="1">K9</f>
        <v>1</v>
      </c>
      <c r="W25" s="5">
        <f ca="1">K10</f>
        <v>30</v>
      </c>
      <c r="X25" s="4">
        <f ca="1">K12</f>
        <v>0.88</v>
      </c>
      <c r="Y25" s="3">
        <f ca="1">K13</f>
        <v>0.84530000000000005</v>
      </c>
      <c r="Z25" s="3">
        <f ca="1">K14</f>
        <v>0.80010000000000003</v>
      </c>
      <c r="AA25" s="3">
        <f>L17</f>
        <v>0.78</v>
      </c>
      <c r="AB25" s="2"/>
    </row>
    <row r="26" spans="2:28" s="1" customFormat="1" ht="15" x14ac:dyDescent="0.25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 s="4">
        <f ca="1">O12*1</f>
        <v>0.82099999999999995</v>
      </c>
      <c r="U26" s="6">
        <f ca="1">M8</f>
        <v>45962</v>
      </c>
      <c r="V26" s="5">
        <f ca="1">M9</f>
        <v>1</v>
      </c>
      <c r="W26" s="5">
        <f ca="1">M10</f>
        <v>26</v>
      </c>
      <c r="X26" s="4">
        <f ca="1">M12</f>
        <v>0.88</v>
      </c>
      <c r="Y26" s="3">
        <f ca="1">M13</f>
        <v>0.80930000000000002</v>
      </c>
      <c r="Z26" s="3">
        <f ca="1">M14</f>
        <v>0.75</v>
      </c>
      <c r="AA26" s="3">
        <f>L17</f>
        <v>0.78</v>
      </c>
      <c r="AB26" s="2"/>
    </row>
    <row r="27" spans="2:28" s="1" customFormat="1" ht="15" x14ac:dyDescent="0.25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U27" s="6">
        <f ca="1">O8</f>
        <v>45992</v>
      </c>
      <c r="V27" s="5">
        <f ca="1">O9</f>
        <v>1</v>
      </c>
      <c r="W27" s="5">
        <f ca="1">O10</f>
        <v>29</v>
      </c>
      <c r="X27" s="4">
        <f ca="1">O12</f>
        <v>0.82099999999999995</v>
      </c>
      <c r="Y27" s="3">
        <f ca="1">O13</f>
        <v>0.78510000000000002</v>
      </c>
      <c r="Z27" s="3">
        <f ca="1">O14</f>
        <v>0.75</v>
      </c>
      <c r="AA27" s="3">
        <f>L17</f>
        <v>0.78</v>
      </c>
      <c r="AB27" s="2"/>
    </row>
    <row r="28" spans="2:28" s="1" customFormat="1" ht="15" x14ac:dyDescent="0.25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2:28" s="1" customFormat="1" ht="15" x14ac:dyDescent="0.25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2:28" s="1" customFormat="1" ht="15" x14ac:dyDescent="0.25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2:28" s="1" customFormat="1" ht="15" x14ac:dyDescent="0.25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2:28" s="1" customFormat="1" ht="15" x14ac:dyDescent="0.25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</row>
    <row r="33" ht="15" x14ac:dyDescent="0.25"/>
    <row r="34" ht="15" x14ac:dyDescent="0.25"/>
    <row r="35" ht="15" x14ac:dyDescent="0.25"/>
    <row r="36" ht="15" x14ac:dyDescent="0.25"/>
    <row r="37" ht="15" x14ac:dyDescent="0.25"/>
    <row r="38" ht="15" x14ac:dyDescent="0.25"/>
    <row r="39" ht="15" x14ac:dyDescent="0.25"/>
    <row r="40" ht="15" x14ac:dyDescent="0.25"/>
    <row r="41" ht="15" x14ac:dyDescent="0.25"/>
    <row r="42" ht="15" x14ac:dyDescent="0.25"/>
    <row r="43" ht="15" x14ac:dyDescent="0.25"/>
    <row r="44" ht="15" x14ac:dyDescent="0.25"/>
    <row r="45" ht="15" x14ac:dyDescent="0.25"/>
    <row r="46" ht="15" x14ac:dyDescent="0.25"/>
  </sheetData>
  <sheetProtection algorithmName="SHA-512" hashValue="Rb1kqvLYO6cNj5bGQmiSmQectNMlBgqeuYtd0acocG7dTCDr2WRdpOvvGYSsCFRpQpOu8nXSqqJRkHtr3v8o/A==" saltValue="5z4yVD4CMw6rpvBmEP8OLQ==" spinCount="100000" sheet="1" objects="1" selectLockedCells="1"/>
  <mergeCells count="86">
    <mergeCell ref="S2:V2"/>
    <mergeCell ref="B4:R4"/>
    <mergeCell ref="M5:O5"/>
    <mergeCell ref="G6:J6"/>
    <mergeCell ref="K6:L6"/>
    <mergeCell ref="M6:O6"/>
    <mergeCell ref="B8:D8"/>
    <mergeCell ref="E8:F8"/>
    <mergeCell ref="G8:H8"/>
    <mergeCell ref="I8:J8"/>
    <mergeCell ref="K8:L8"/>
    <mergeCell ref="M8:N8"/>
    <mergeCell ref="O8:P8"/>
    <mergeCell ref="Q8:R8"/>
    <mergeCell ref="B9:D9"/>
    <mergeCell ref="E9:F9"/>
    <mergeCell ref="G9:H9"/>
    <mergeCell ref="I9:J9"/>
    <mergeCell ref="K9:L9"/>
    <mergeCell ref="M9:N9"/>
    <mergeCell ref="O9:P9"/>
    <mergeCell ref="Q9:R9"/>
    <mergeCell ref="B10:D10"/>
    <mergeCell ref="E10:F10"/>
    <mergeCell ref="G10:H10"/>
    <mergeCell ref="I10:J10"/>
    <mergeCell ref="K10:L10"/>
    <mergeCell ref="M10:N10"/>
    <mergeCell ref="O10:P10"/>
    <mergeCell ref="Q10:R10"/>
    <mergeCell ref="B12:D12"/>
    <mergeCell ref="E12:F12"/>
    <mergeCell ref="G12:H12"/>
    <mergeCell ref="I12:J12"/>
    <mergeCell ref="K12:L12"/>
    <mergeCell ref="M12:N12"/>
    <mergeCell ref="O12:P12"/>
    <mergeCell ref="Q12:R12"/>
    <mergeCell ref="T12:U12"/>
    <mergeCell ref="V12:W12"/>
    <mergeCell ref="X12:Y12"/>
    <mergeCell ref="Z12:AA12"/>
    <mergeCell ref="AB12:AC12"/>
    <mergeCell ref="AD12:AE12"/>
    <mergeCell ref="B13:D13"/>
    <mergeCell ref="E13:F13"/>
    <mergeCell ref="G13:H13"/>
    <mergeCell ref="I13:J13"/>
    <mergeCell ref="K13:L13"/>
    <mergeCell ref="M13:N13"/>
    <mergeCell ref="O13:P13"/>
    <mergeCell ref="Q13:R13"/>
    <mergeCell ref="T13:U13"/>
    <mergeCell ref="V13:W13"/>
    <mergeCell ref="X13:Y13"/>
    <mergeCell ref="Z13:AA13"/>
    <mergeCell ref="AB13:AC13"/>
    <mergeCell ref="AD13:AE13"/>
    <mergeCell ref="B14:D14"/>
    <mergeCell ref="E14:F14"/>
    <mergeCell ref="G14:H14"/>
    <mergeCell ref="I14:J14"/>
    <mergeCell ref="K14:L14"/>
    <mergeCell ref="M14:N14"/>
    <mergeCell ref="O14:P14"/>
    <mergeCell ref="Q14:R14"/>
    <mergeCell ref="T14:U14"/>
    <mergeCell ref="V14:W14"/>
    <mergeCell ref="X14:Y14"/>
    <mergeCell ref="Z14:AA14"/>
    <mergeCell ref="AB14:AC14"/>
    <mergeCell ref="AD14:AE14"/>
    <mergeCell ref="L16:N16"/>
    <mergeCell ref="B17:C17"/>
    <mergeCell ref="E17:F17"/>
    <mergeCell ref="I17:J17"/>
    <mergeCell ref="L17:N19"/>
    <mergeCell ref="B18:C18"/>
    <mergeCell ref="E18:F18"/>
    <mergeCell ref="I18:J18"/>
    <mergeCell ref="B19:C19"/>
    <mergeCell ref="E19:F19"/>
    <mergeCell ref="I19:J19"/>
    <mergeCell ref="B16:C16"/>
    <mergeCell ref="E16:F16"/>
    <mergeCell ref="H16:J16"/>
  </mergeCells>
  <dataValidations count="1">
    <dataValidation type="list" allowBlank="1" showInputMessage="1" showErrorMessage="1" sqref="L17:N19" xr:uid="{B794B994-834F-4F35-9013-F88E0C985F6E}">
      <formula1>$E$17:$E$19</formula1>
    </dataValidation>
  </dataValidations>
  <pageMargins left="0.511811024" right="0.511811024" top="0.78740157499999996" bottom="0.78740157499999996" header="0.31496062000000002" footer="0.31496062000000002"/>
  <pageSetup paperSize="9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ESTUDO DE LANCES</vt:lpstr>
      <vt:lpstr>'ESTUDO DE LANCES'!Area_de_impressao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Vagner Pitinga Pinto</dc:creator>
  <cp:lastModifiedBy>José Vagner Pitinga Pinto</cp:lastModifiedBy>
  <dcterms:created xsi:type="dcterms:W3CDTF">2026-01-25T19:17:51Z</dcterms:created>
  <dcterms:modified xsi:type="dcterms:W3CDTF">2026-01-25T19:19:26Z</dcterms:modified>
</cp:coreProperties>
</file>